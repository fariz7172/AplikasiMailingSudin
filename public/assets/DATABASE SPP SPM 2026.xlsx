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6\LAMPIRAN SPP SPM\"/>
    </mc:Choice>
  </mc:AlternateContent>
  <bookViews>
    <workbookView xWindow="0" yWindow="0" windowWidth="28800" windowHeight="11835"/>
  </bookViews>
  <sheets>
    <sheet name="Sheet1" sheetId="1" r:id="rId1"/>
    <sheet name="Sheet5" sheetId="5" r:id="rId2"/>
    <sheet name="Sheet2" sheetId="2" r:id="rId3"/>
    <sheet name="petty cash" sheetId="4" r:id="rId4"/>
  </sheets>
  <externalReferences>
    <externalReference r:id="rId5"/>
    <externalReference r:id="rId6"/>
  </externalReferences>
  <definedNames>
    <definedName name="_xlnm._FilterDatabase" localSheetId="0" hidden="1">Sheet1!$A$1:$BJ$6</definedName>
    <definedName name="_xlnm.Print_Area" localSheetId="3">'petty cash'!$C$27:$I$114</definedName>
    <definedName name="_xlnm.Print_Area" localSheetId="2">Sheet2!$A$225:$H$248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4" i="1" l="1"/>
  <c r="O123" i="1" l="1"/>
  <c r="O121" i="1"/>
  <c r="O125" i="1"/>
  <c r="O120" i="1"/>
  <c r="O122" i="1"/>
  <c r="D22" i="5" l="1"/>
  <c r="O111" i="1"/>
  <c r="O116" i="1"/>
  <c r="O119" i="1"/>
  <c r="O114" i="1"/>
  <c r="O115" i="1"/>
  <c r="O113" i="1"/>
  <c r="O117" i="1"/>
  <c r="O112" i="1"/>
  <c r="O118" i="1"/>
  <c r="D33" i="4" l="1"/>
  <c r="D32" i="4"/>
  <c r="F17" i="4"/>
  <c r="F19" i="4" s="1"/>
  <c r="F21" i="4" s="1"/>
  <c r="F22" i="4" s="1"/>
  <c r="F23" i="4" s="1"/>
  <c r="F24" i="4" s="1"/>
  <c r="F25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G224" i="2" l="1"/>
  <c r="O97" i="1"/>
  <c r="O92" i="1"/>
  <c r="O106" i="1"/>
  <c r="O108" i="1"/>
  <c r="O100" i="1"/>
  <c r="O104" i="1"/>
  <c r="O94" i="1"/>
  <c r="O95" i="1"/>
  <c r="O101" i="1"/>
  <c r="O102" i="1"/>
  <c r="O103" i="1"/>
  <c r="O96" i="1"/>
  <c r="O110" i="1"/>
  <c r="O109" i="1"/>
  <c r="O93" i="1"/>
  <c r="O99" i="1"/>
  <c r="O107" i="1"/>
  <c r="O98" i="1"/>
  <c r="O105" i="1"/>
  <c r="O50" i="1"/>
  <c r="O10" i="1"/>
  <c r="O39" i="1"/>
  <c r="O64" i="1"/>
  <c r="O20" i="1"/>
  <c r="O52" i="1"/>
  <c r="O15" i="1"/>
  <c r="O87" i="1"/>
  <c r="O32" i="1"/>
  <c r="O44" i="1"/>
  <c r="O67" i="1"/>
  <c r="O14" i="1"/>
  <c r="O83" i="1"/>
  <c r="O51" i="1"/>
  <c r="O45" i="1"/>
  <c r="O84" i="1"/>
  <c r="O23" i="1"/>
  <c r="O89" i="1"/>
  <c r="O76" i="1"/>
  <c r="O24" i="1"/>
  <c r="O70" i="1"/>
  <c r="O38" i="1"/>
  <c r="O18" i="1"/>
  <c r="O27" i="1"/>
  <c r="O55" i="1"/>
  <c r="O72" i="1"/>
  <c r="O60" i="1"/>
  <c r="O81" i="1"/>
  <c r="O78" i="1"/>
  <c r="O19" i="1"/>
  <c r="O79" i="1"/>
  <c r="O43" i="1"/>
  <c r="O71" i="1"/>
  <c r="O17" i="1"/>
  <c r="O69" i="1"/>
  <c r="O34" i="1"/>
  <c r="O26" i="1"/>
  <c r="O68" i="1"/>
  <c r="O56" i="1"/>
  <c r="O7" i="1"/>
  <c r="O57" i="1"/>
  <c r="O85" i="1"/>
  <c r="O74" i="1"/>
  <c r="O22" i="1"/>
  <c r="O80" i="1"/>
  <c r="O82" i="1"/>
  <c r="O90" i="1"/>
  <c r="O59" i="1"/>
  <c r="O62" i="1"/>
  <c r="O21" i="1"/>
  <c r="O58" i="1"/>
  <c r="O41" i="1"/>
  <c r="O33" i="1"/>
  <c r="O88" i="1"/>
  <c r="O35" i="1"/>
  <c r="O86" i="1"/>
  <c r="O11" i="1"/>
  <c r="O37" i="1"/>
  <c r="O30" i="1"/>
  <c r="O47" i="1"/>
  <c r="O73" i="1"/>
  <c r="O40" i="1"/>
  <c r="O13" i="1"/>
  <c r="O25" i="1"/>
  <c r="O8" i="1"/>
  <c r="O9" i="1"/>
  <c r="O75" i="1"/>
  <c r="O28" i="1"/>
  <c r="O12" i="1"/>
  <c r="O54" i="1"/>
  <c r="O48" i="1"/>
  <c r="O63" i="1"/>
  <c r="O42" i="1"/>
  <c r="O61" i="1"/>
  <c r="O66" i="1"/>
  <c r="O31" i="1"/>
  <c r="O53" i="1"/>
  <c r="O16" i="1"/>
  <c r="O65" i="1"/>
  <c r="O77" i="1"/>
  <c r="O49" i="1"/>
  <c r="O36" i="1"/>
  <c r="O29" i="1"/>
  <c r="G192" i="2" l="1"/>
  <c r="G161" i="2" l="1"/>
  <c r="G79" i="2" l="1"/>
  <c r="F59" i="2" l="1"/>
  <c r="F15" i="2" l="1"/>
  <c r="O3" i="1"/>
  <c r="O4" i="1"/>
  <c r="O6" i="1"/>
  <c r="O2" i="1"/>
  <c r="O5" i="1"/>
</calcChain>
</file>

<file path=xl/sharedStrings.xml><?xml version="1.0" encoding="utf-8"?>
<sst xmlns="http://schemas.openxmlformats.org/spreadsheetml/2006/main" count="2935" uniqueCount="1340">
  <si>
    <t>No</t>
  </si>
  <si>
    <t>No_SPD</t>
  </si>
  <si>
    <t>Program</t>
  </si>
  <si>
    <t>Kegiatan</t>
  </si>
  <si>
    <t>Kode_Rek</t>
  </si>
  <si>
    <t>No_Kontrak</t>
  </si>
  <si>
    <t>Tgl_Kontrak</t>
  </si>
  <si>
    <t>Bln_Kontrak</t>
  </si>
  <si>
    <t>Thn_Kontrak</t>
  </si>
  <si>
    <t>Jumlah</t>
  </si>
  <si>
    <t>Terbilang</t>
  </si>
  <si>
    <t>Direktur</t>
  </si>
  <si>
    <t>NPWP</t>
  </si>
  <si>
    <t>Akte</t>
  </si>
  <si>
    <t>Tgl. Akte</t>
  </si>
  <si>
    <t>Bulan_Akte</t>
  </si>
  <si>
    <t>Thn_akte</t>
  </si>
  <si>
    <t>TDP</t>
  </si>
  <si>
    <t>Tgl. TDP</t>
  </si>
  <si>
    <t>Bulan_TDP</t>
  </si>
  <si>
    <t>Bank</t>
  </si>
  <si>
    <t>Rek_ Bank</t>
  </si>
  <si>
    <t>Jangka Waktu</t>
  </si>
  <si>
    <t>Alamat</t>
  </si>
  <si>
    <t>No_SPM</t>
  </si>
  <si>
    <t>Tgl_SPM</t>
  </si>
  <si>
    <t>Bln_SPM</t>
  </si>
  <si>
    <t>Thn_SPM</t>
  </si>
  <si>
    <t>Progress</t>
  </si>
  <si>
    <t>Nomor BAST</t>
  </si>
  <si>
    <t>Tanggal BAST</t>
  </si>
  <si>
    <t>Keperluan</t>
  </si>
  <si>
    <t>No_Kwi</t>
  </si>
  <si>
    <t>PEJABAT PELAKSANA TEKNIS KEGIATAN (PPTK)</t>
  </si>
  <si>
    <t>NIK</t>
  </si>
  <si>
    <t>JABATAN</t>
  </si>
  <si>
    <t>No_SPP</t>
  </si>
  <si>
    <t>Tagihan_1</t>
  </si>
  <si>
    <t>Tagihan_2</t>
  </si>
  <si>
    <t>Tagihan_3</t>
  </si>
  <si>
    <t>Tagihan_4</t>
  </si>
  <si>
    <t>Tagihan_5</t>
  </si>
  <si>
    <t>Nilai Kontrak</t>
  </si>
  <si>
    <t>Nilai_Addendum1</t>
  </si>
  <si>
    <t>Nilai_Addendum2</t>
  </si>
  <si>
    <t>No. SP2D</t>
  </si>
  <si>
    <t>Tgl. SP2D</t>
  </si>
  <si>
    <t>Addendum_Kontrak</t>
  </si>
  <si>
    <t>Tgl_Addendum</t>
  </si>
  <si>
    <t>Bln_Addendum</t>
  </si>
  <si>
    <t xml:space="preserve">  </t>
  </si>
  <si>
    <t>Addendum_Kontrak2</t>
  </si>
  <si>
    <t>Tgl_Addendum2</t>
  </si>
  <si>
    <t>Bln_Addendum2</t>
  </si>
  <si>
    <t>Thn_Addendum2</t>
  </si>
  <si>
    <t>Denda</t>
  </si>
  <si>
    <t>Alamat update</t>
  </si>
  <si>
    <t>1.03.01 PROGRAM PENUNJANG URUSAN PEMERINTAH DAERAH PROVINSI</t>
  </si>
  <si>
    <t>Sudin Sumber Daya Air Kota Administrasi Jakarta Utara</t>
  </si>
  <si>
    <t>1.03.01.1.08 Penyediaan Jasa Penunjang Urusan Pemerintahan Daerah</t>
  </si>
  <si>
    <t>Kepala Seksi Pemeliharaan Drainase</t>
  </si>
  <si>
    <t>1.03.02.1.01 Pengelolaan SDA dan Bangunan Pengaman Pantai pada Wilayah Sungai Lintas Daerah</t>
  </si>
  <si>
    <t>197908222010011022</t>
  </si>
  <si>
    <t>Kepala Seksi Pengelolaan Sarana Pengendali Banjir, Air Bersih dan Air Limbah</t>
  </si>
  <si>
    <t>1.03.03.1.01 Pengelolaan dan Pengembangan Sistem Penyediaan Air Minum (SPAM) Lintas Kabupaten/Kota</t>
  </si>
  <si>
    <t xml:space="preserve"> </t>
  </si>
  <si>
    <t>Kepala Seksi Pembangunan dan Peningkatan Drainase</t>
  </si>
  <si>
    <t>1.03.05.2.01 Pengelolaan dan Pengembangan Sistem Air Limbah Domestik dalam Daerah Kabupaten/Kota</t>
  </si>
  <si>
    <t>1.03.06.1.01 Pengelolaan dan Pengembangan Sistem Drainase yang Terhubung Langsung dengan Sungai Lintas Daerah Kabupaten/Kota dan Kawasan Strategis Provinsi</t>
  </si>
  <si>
    <t>NAMA PERUSAHAAN</t>
  </si>
  <si>
    <t>Februari</t>
  </si>
  <si>
    <t>Yudo Widiatmoko</t>
  </si>
  <si>
    <t>198608302010011010</t>
  </si>
  <si>
    <t>Boris Karlop Lumbangaol</t>
  </si>
  <si>
    <t>197811062010011020</t>
  </si>
  <si>
    <t>Maret</t>
  </si>
  <si>
    <t>Sub Kegiatan</t>
  </si>
  <si>
    <t>1.03.02 PROGRAM PENGELOLAAN SUMBER DAYA AIR (SDA)</t>
  </si>
  <si>
    <t>1.03.02.1.01.0055 Operasi dan Pemeliharaan Stasiun Pompa Banjir</t>
  </si>
  <si>
    <t>PT. FACHRY TUNGGAL MANDIRI</t>
  </si>
  <si>
    <t>Desember</t>
  </si>
  <si>
    <t>Frans Agustinus Siahaan</t>
  </si>
  <si>
    <t>PT. SUKITA MANDIRI PERKASA</t>
  </si>
  <si>
    <t>PT. SEBA BERKARYA INDOJAYA</t>
  </si>
  <si>
    <t>PT. CITRA ALAM PERKASA</t>
  </si>
  <si>
    <t>November</t>
  </si>
  <si>
    <t>PT. ELPIRA PUTRA SEJAHTERA</t>
  </si>
  <si>
    <t>CV. MEGA JAYA TEKNINDO</t>
  </si>
  <si>
    <t>PT. ENERGI HIJAU SAMOEDERA BERSAUDARA</t>
  </si>
  <si>
    <t>20140/PN.01.02</t>
  </si>
  <si>
    <t>Tahun_TDP</t>
  </si>
  <si>
    <t>PT. ADHIKARILAB INDONESIA</t>
  </si>
  <si>
    <t>13257/PN.01.02</t>
  </si>
  <si>
    <t>CV. HAS SURVEY</t>
  </si>
  <si>
    <t>PT. KARYA CIPTA KONSULTAN NUSANTARA</t>
  </si>
  <si>
    <t>PT. RAMA BAKTY KARYA</t>
  </si>
  <si>
    <t>PT.GRATIRA MULTI ANUGERAH</t>
  </si>
  <si>
    <t>PT. SAMUEL RAMA REKSA</t>
  </si>
  <si>
    <t>PT. ANTARES KONSULTAN</t>
  </si>
  <si>
    <t>PT. BALQIS MANDIRI KONSULTAN</t>
  </si>
  <si>
    <t>PT. BLIMBING JAYA TEKNINDO</t>
  </si>
  <si>
    <t>PT. MOKSHA SAMSARA LOKA</t>
  </si>
  <si>
    <t>PT. MUGI REKA PERDANA</t>
  </si>
  <si>
    <t>PT. MITRA SOLUSINDO MANDALA</t>
  </si>
  <si>
    <t xml:space="preserve">PT URBA KREASI GEMILANG </t>
  </si>
  <si>
    <t>PT. BORNEO KONSTRUKSI NUSANTARA</t>
  </si>
  <si>
    <t>PT. ERA ANUGRAH</t>
  </si>
  <si>
    <t xml:space="preserve">CV. KEMBAR GEMILANG </t>
  </si>
  <si>
    <t>PT. PANDORA SARANA TEKNIK</t>
  </si>
  <si>
    <t>19582/PN.01.02</t>
  </si>
  <si>
    <t>PT. RAHARJA JAYA BERSAMA</t>
  </si>
  <si>
    <t>PT. SIOAN ANANTA SENTOSA</t>
  </si>
  <si>
    <t>PT. DAYA NUSANTARA JAYA</t>
  </si>
  <si>
    <t>PT. INDAH BUKIT NUSATAMA</t>
  </si>
  <si>
    <t>PT. KOMINDO BIZOLUSI</t>
  </si>
  <si>
    <t>7874/PN.01.02</t>
  </si>
  <si>
    <t>CV. HOTMA MAROJAHAN</t>
  </si>
  <si>
    <t>PT. ISTECH UTAMA</t>
  </si>
  <si>
    <t>Pembuatan Hoist Crane untuk Tanggul Mitigasi Jl. Mandala Bahari sesuai kontrak no. 30022/pn.01.02 tgl. 11 sept 2025</t>
  </si>
  <si>
    <t>PT. SARANA GERAK SOLUSINDO</t>
  </si>
  <si>
    <t xml:space="preserve">Pengadaan Pakaian Kerja Lapangan untuk Menunjang Kegiatan Operasi dan Pemeliharaan Stasiun Pompa Banjir sesuai kontrak no. EP-01JWWHFM8P4G20GA4DG3WAAXPP tgl. 10 Juni 2025 </t>
  </si>
  <si>
    <t>PT. TIARA SIRA JAYA</t>
  </si>
  <si>
    <t>CV. BOMILAN SADA RIAH</t>
  </si>
  <si>
    <t>Pengadaan Chemical SPALD sesuai kontrak no EP-01K&amp;DWMVCBFM5S1WHPG39K651F tgl. 20 okt 2025</t>
  </si>
  <si>
    <t>0000613/SPM/10302201/XI/2025</t>
  </si>
  <si>
    <t>0000614/SPM/10302201/XI/2025</t>
  </si>
  <si>
    <t>PT. MANGGALA MANDIRI MAKMUR</t>
  </si>
  <si>
    <t>Pemb. PA Gading Kirana Raya Sal 2, Kelapa gading sesuai kontrak no. 31238/pn.01.02 tgl. 30 sept 2025</t>
  </si>
  <si>
    <t>PT. SUAN TAFUI KARYA</t>
  </si>
  <si>
    <t>0000615/SPM/10302201/XI/2025</t>
  </si>
  <si>
    <t>Kelengkapan Eksterior Pompa Pasar Ikan  sesuai kontrak no. EP-01K7K168AYV7F7B2QWWHAPEX3N tgl. 17 okt 2025, add no 37783/pn.01.02 tgl 6 nov 2025</t>
  </si>
  <si>
    <t>PT. MARNATHA BANGUNSENTOSA</t>
  </si>
  <si>
    <t>Pemb. PA Gading Kirana Raya Sal 1, Kelapa gading sesuai kontrak no. 31236/pn.01.02 tgl. 30 sept 2025</t>
  </si>
  <si>
    <t>Pemb. PA Gading Kirana Raya Sal 2, Kelapa gading sesuai kontrak no. 31240/pn.01.02 tgl. 30 sept 2025</t>
  </si>
  <si>
    <t>PT. MANDIRI HARDJA AGUNG</t>
  </si>
  <si>
    <t>0000616/SPM/10302201/XI/2025</t>
  </si>
  <si>
    <t>Pengadaan dan Pemasangan Pompa 1000 lps serta kelengkapannya untuk peningkatan pompa sesuai kontrak no. 19580/pn.01.02 tgl. 21 mar 2025, add no 31475/pn.01.02 tgl 1 okt 2025, add 2 no 37779/pn.01.02 tgl. 6 nov 2025</t>
  </si>
  <si>
    <t>0000617/SPM/10302201/XI/2025</t>
  </si>
  <si>
    <t>Perbaikan Panel Listrik Rumah Pompa Pasar Ikan No 5 dan 6, Kapuk 2 no 3, Kapuk 3 no 2 sesuai kontrak no. EP-01K85G25806BY591P5QZY6J0X3 tgl. 29 okt 2025</t>
  </si>
  <si>
    <t>Pengadaan dan Pemasangan Pompa 250 lps serta kelengkapannya untuk peningkatan polder sesuai kontrak no. 19578/pn.01.02 tgl. 21 mar 2025, add no 31476/pn.01.02 tgl 1 okt 2025</t>
  </si>
  <si>
    <t>CV. GELORA JAYA</t>
  </si>
  <si>
    <t>0000619/SPM/10302201/XI/2025</t>
  </si>
  <si>
    <t>Perbaikan Pompa Screw 4000 Lps No 2 Pada Rumah Pompa Tanjungan sesuai kontrak no. EP-01K7R6ES85RK0K78BWXR9WB62Z tgl. 23 okt 2025</t>
  </si>
  <si>
    <t>PT. LEBAH RAJIN SEJAHTERA</t>
  </si>
  <si>
    <t>0000620/SPM/10302201/XI/2025</t>
  </si>
  <si>
    <t>Pengadaan Bahan Material semen dan besi beton bulan oktober Untuk Menunjang Kegiatan Operasi dan Pemeliharaan Drainase sesuai kontrak no EP-01K8MCF65772RXZ0GHN25ZH2RG tgl. 28 okt 2025</t>
  </si>
  <si>
    <t>0000621/SPM/10302201/XI/2025</t>
  </si>
  <si>
    <t>Perbaikan Pompa 500 lps dan penggantian pipa kolom dan pipa buang no 1 pompa marina sesuai kontrak no 38005/PN.01.02 tgl. 10 nov 2025</t>
  </si>
  <si>
    <t>Pekerjaan Boring Kabel SKTR Pompa Hibrida  sesuai kontrak no. EP-01K7PBBM19E0830XJF6YRE380Z tgl. 21 okt 2025</t>
  </si>
  <si>
    <t>0000623/SPM/10302201/XI/2025</t>
  </si>
  <si>
    <t>0000622/SPM/10302201/XI/2025</t>
  </si>
  <si>
    <t>Pengukuran Topografi Pompa stasioner kampung gusti sesuai kontrak no. 31998/pn.01.02 tgl. 8 okt 2025</t>
  </si>
  <si>
    <t>0000624/SPM/10302201/XI/2025</t>
  </si>
  <si>
    <t>0000625/SPM/10302201/XI/2025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</si>
  <si>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</si>
  <si>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</si>
  <si>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</si>
  <si>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</si>
  <si>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</si>
  <si>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</si>
  <si>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</si>
  <si>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</si>
  <si>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</si>
  <si>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</si>
  <si>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</si>
  <si>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</si>
  <si>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</si>
  <si>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0000626/SPM/10302201/XI/2025</t>
  </si>
  <si>
    <t>PT. PRIMER MAKMUR ABADI</t>
  </si>
  <si>
    <t>Pengadaan USB Wireless Lan sesuai kontrak no. 36149/pn.01.02 tgl. 21 okt 2025</t>
  </si>
  <si>
    <t>Pengadaan Handy Talkie sesuai kontrak no. 36147/pn.01.02 tgl. 21 okt 2025</t>
  </si>
  <si>
    <t>CV. RIAPRIMA PUTRI AMBAR</t>
  </si>
  <si>
    <t>0000627/SPM/10302201/XI/2025</t>
  </si>
  <si>
    <t>Pemb. PA Gading Kirana Raya Sal 7, Kelapa gading sesuai kontrak no. 35054/pn.01.02 tgl. 10 okt 2025</t>
  </si>
  <si>
    <t>0000628/SPM/10302201/XI/2025</t>
  </si>
  <si>
    <t>0000629/SPM/10302201/XI/2025</t>
  </si>
  <si>
    <t>0000630/SPM/10302201/XI/2025</t>
  </si>
  <si>
    <t>0000631/SPM/10302201/XI/2025</t>
  </si>
  <si>
    <t>0000632/SPM/10302201/XI/2025</t>
  </si>
  <si>
    <t xml:space="preserve">PT. BINA SAPUTRA TUNGGAL   </t>
  </si>
  <si>
    <t>0000633/SPM/10302201/XI/2025</t>
  </si>
  <si>
    <t>Pemb. PA Gading Griya Lestari RT 1 RW 10, Sukapura sesuai kontrak no. 35058/pn.01.02 tgl. 10 okt 2025</t>
  </si>
  <si>
    <t>Pengadaan Bahan Material batu belah dan batu pecah bulan oktober Untuk Menunjang Kegiatan Operasi dan Pemeliharaan Drainase sesuai kontrak no EP-01K82SG52X3SYH35BHN8Z8CG7W tgl. 22 okt 2025</t>
  </si>
  <si>
    <t>Pemasangan Hoist Crane 7.5 ton pada gudang perlatan ketel uap sesuai kontrak no. EP-01K7QY3VR8VQ1754QMJN7ZZV80 tgl. 20 okt 2025</t>
  </si>
  <si>
    <t>CV. YURA TEKNOLOGI</t>
  </si>
  <si>
    <t>Pemindahan dan pemasangan pipa buang dan panel TR dari rumah pompa yos sudarso 1 no 2 ke rumah pompa kelapa hijau  sesuai kontrak no. 38097/pn.01.02 tgl. 11 nov 2025</t>
  </si>
  <si>
    <t xml:space="preserve">PT. TOLPING JAYA </t>
  </si>
  <si>
    <t>0000634/SPM/10302201/XI/2025</t>
  </si>
  <si>
    <t>Pemb. PA Kp. Kandang RT 8 RW 4, semper barat sesuai kontrak no. 35056/pn.01.02 tgl. 10 okt 2025, add no 37452/pn.01.02 tgl 4 nov 2025</t>
  </si>
  <si>
    <t>0000635/SPM/10302201/XI/2025</t>
  </si>
  <si>
    <t>0000636/SPM/10302201/XI/2025</t>
  </si>
  <si>
    <t>PT. ASIANA TECHNOLOGIES LESTARY</t>
  </si>
  <si>
    <t>Pemel. Saringan Sampah Otomatis Pompa Pluit tengah, pasar ikan, dan kelapa gading don boscoo sesuai kontrak no. EP-01K309E17JHRFV2ZCK0NZJEQZ2 tgl. 1 sep 2025</t>
  </si>
  <si>
    <t>0000637/SPM/10302201/XI/2025</t>
  </si>
  <si>
    <t>PT. GIA HUTAMA MANDIRI</t>
  </si>
  <si>
    <t>Pemb. PA Gading Kirana Raya Sal 6, Kelapa Gading sesuai kontrak no. 35052/pn.01.02 tgl. 10 okt 2025</t>
  </si>
  <si>
    <t>Peningkatan Sipil Pompa Sub Polder Pegangsaan Dua (Pompa Boulevard Timur) sesuai kontrak no. 25745/pn.01.02 tgl. 7 Juli 2025, add 1 31567/pn.01.02 tgl. 1 okt 2025, add 2 36576/pn.01.02 tgl. 24 okt 2025</t>
  </si>
  <si>
    <t>0000638/SPM/10302201/XI/2025</t>
  </si>
  <si>
    <t>Pemel. Pompa Merek Grunfos oleh ATPM OT. Adidaya Tehnik Nusantara sesuai kontrak no. EP-01JYZRJNVC62JQ4PRSM0B3CNEN tgl. 2 juli 2025,add no 31566/pn.01.02 tgl 2 okt 2025</t>
  </si>
  <si>
    <t>0000639/SPM/10302201/XI/2025</t>
  </si>
  <si>
    <t>0000640/SPM/10302201/XI/2025</t>
  </si>
  <si>
    <t>0000641/SPM/10302201/XI/2025</t>
  </si>
  <si>
    <t>PT. NINGRAT MUDA WICAKSONO</t>
  </si>
  <si>
    <t>0000642/SPM/10302201/XI/2025</t>
  </si>
  <si>
    <t>Peningkatan Sipil untuk sal. Intake peningkatan pompa sub polder sunter timur 2 kebantenan (KBN cilincing) sesuai kontrak no. 25927/pn.01.02 tgl. 2 okt 2025, add 1 3156/pn.01.02 tgl. 1 okt 2025</t>
  </si>
  <si>
    <t>14</t>
  </si>
  <si>
    <t>15</t>
  </si>
  <si>
    <t>16</t>
  </si>
  <si>
    <t>17</t>
  </si>
  <si>
    <t>18</t>
  </si>
  <si>
    <t>19</t>
  </si>
  <si>
    <t>0000643/SPM/10302201/XI/2025</t>
  </si>
  <si>
    <t>Perbaikan Pompa Apu sesuai kontrak no EP-01K9F16XX6PCTYG26FYWJZNQFV tgl. 11 nov 2025</t>
  </si>
  <si>
    <t>0000644/SPM/10302201/XI/2025</t>
  </si>
  <si>
    <t>PT. ARKONS PUTRA PURBARATU</t>
  </si>
  <si>
    <t>0000645/SPM/10302201/XI/2025</t>
  </si>
  <si>
    <t>Peningkatan Sipil untuk sal. Intake peningkatan pompa sub polder sunter timur 2 kebantenan (KBN cilincing) sesuai kontrak no. 25757/pn.01.02 tgl. 7 juli 2025, add 31582/pn.01.02 tgl. 2 okt 2025</t>
  </si>
  <si>
    <t>Pembayaran Gaji, BPJS Kesehatan 4% dan 1 % PJLP Bulan November 2025 Sudin SDA JU Penyediaan PJLP Kegiatan Kantor Sebanyak 51 Orang</t>
  </si>
  <si>
    <t>Pembayaran Gaji, BPJS Kesehatan 4% dan 1 % PJLP Bulan November 2025 Sudin SDA JU Penyediaan PJLP untuk Pengelolaan dan Pengembangan Sistem Penyediaan Air Minum (SPAM) sebanyak 4 Orang</t>
  </si>
  <si>
    <t>Pembayaran Gaji, BPJS Kesehatan 4% dan 1 % PJLP Bulan November 2025 Sudin SDA JU Penyediaan PJLP untuk Operasi dan Pemeliharaan Sistem Pengelolaan Air Limbah Domestik sebanyak 49 Orang</t>
  </si>
  <si>
    <t>0000648/SPM/10302201/XII/2025</t>
  </si>
  <si>
    <t>0000649/SPM/10302201/XII/2025</t>
  </si>
  <si>
    <t>Pembayaran Gaji, BPJS Kesehatan 4% dan 1 % PJLP Bulan November 2025 Sudin SDA JU Penyediaan PJLP untuk Operasi dan Pemeliharaan Stasiun Pompa Banjir sebanyak 525 Orang</t>
  </si>
  <si>
    <t>0000650/SPM/10302201/XII/2025</t>
  </si>
  <si>
    <t>Pembayaran Gaji, BPJS Kesehatan 4% dan 1 % PJLP Bulan November 2025 Sudin SDA JU Penyediaan PJLP untuk Operasi dan Pemeliharaan Sistem Drainase sebanyak 752 Orang</t>
  </si>
  <si>
    <t>0000651/SPM/10302201/XII/2025</t>
  </si>
  <si>
    <t>0000652/SPM/10302201/XII/2025</t>
  </si>
  <si>
    <t>0000656/SPM/10302201/XII/2025</t>
  </si>
  <si>
    <t>PT. LYRID PRIMA INDONESIA</t>
  </si>
  <si>
    <t>EP-01K3NAN3KQN47DWNYX6Y2HGGMV</t>
  </si>
  <si>
    <t>sistem otomatisasi pompa stasioner sunter utara sesuai kontrak no. EP-01K3NAN3KQN47DWNYX6Y2HGGMV tgl. 29 agt 2025, add no 31574/pn.01.02 tgl 2 okt 2025, add no 38461/pn.01.02 tgl 13 nov 2025</t>
  </si>
  <si>
    <t>PT. LAUT BUMI LANGIT</t>
  </si>
  <si>
    <t>37757/PN.01.02</t>
  </si>
  <si>
    <t>Pemel. SPALD Damkar Semper sesuai kontrak no. 37757/pn.01.02 tgl 6 nov 2025</t>
  </si>
  <si>
    <t>38513/PN.01.02</t>
  </si>
  <si>
    <t>Pemel. SPALD pompa Rawabadak sesuai kontrak no. 38513/pn.01.02 tgl 14 nov 2025</t>
  </si>
  <si>
    <t>0000663/SPM/10302201/XII/2025</t>
  </si>
  <si>
    <t>0000669/SPM/10302201/XII/2025</t>
  </si>
  <si>
    <t>SPK No. 18921/PN.01.02 Tgl. 14 Maret 2025, Add No. 31440/PN.01.02 Tgl. 1 Okt 2025 Upah Aspro Bulan Ke 9 (Nov) Satu (1) Orang Kegiatan Assistant Professional Staff Manajemen Lapangan untuk Menunjang Operasi dan Pemeliharaan Sistem Drainase Perkotaan</t>
  </si>
  <si>
    <t>0000672/SPM/10302201/XII/2025</t>
  </si>
  <si>
    <t>PT. PERTAMINA RETAIL</t>
  </si>
  <si>
    <t>SPE-1124/B13000/2025-S1</t>
  </si>
  <si>
    <t>0000682/SPM/10302201/XII/2025</t>
  </si>
  <si>
    <t>Pembayaran Belanja Bahan-bahan bakar dan pelumas untuk kartu RFID sesuai PK No. SPE-1124/B13000/2025-S1 tgl. 06 November 2025</t>
  </si>
  <si>
    <t>0000685/SPM/10302201/XII/2025</t>
  </si>
  <si>
    <t>0000686/SPM/10302201/XII/2025</t>
  </si>
  <si>
    <t>23</t>
  </si>
  <si>
    <t>26</t>
  </si>
  <si>
    <t>27</t>
  </si>
  <si>
    <t>PT. CAHYA SADA MANDIRI</t>
  </si>
  <si>
    <t>38265/PN.01.02</t>
  </si>
  <si>
    <t>Pek. Perb. Pagar dan gudang lama  sesuai kontrak no 38265/pn.01.02 tgl 12 nov 2025</t>
  </si>
  <si>
    <t>38267/PN.01.02</t>
  </si>
  <si>
    <t>Pek. Renovasi lantai 2 pompa pasar ikan sesuai kontrak no 38267/pn.01.02 tgl 12 nov 2025</t>
  </si>
  <si>
    <t>38269/PN.01.02</t>
  </si>
  <si>
    <t>Pek. Pembuatan gudang baru pompa pasar ikan sesuai kontrak no 38269/pn.01.02 tgl 12 nov 2025</t>
  </si>
  <si>
    <t>EP-01K9RGA5FE55M43ARYHNEX0GP8</t>
  </si>
  <si>
    <t>Perb. Dan Pml. Panel Listrik dan Trafo untuk 8 lokasi rumah pompa jakarta utara sesuai kontrak no. EP-01K9RGA5FE55M43ARYHNEX0GP8 tgl. 11 nov 2025</t>
  </si>
  <si>
    <t>PT. TRIPEL ERATAMA</t>
  </si>
  <si>
    <t>39305/PN.01.02</t>
  </si>
  <si>
    <t>Pemel PA jembatan jl. Lodan raya (samping gd flushing ancol) pademangan sesuai kontrak no 39305/pn.01.02 tgl 21 nov 2025</t>
  </si>
  <si>
    <t>Pemel PA jembatan jl. Pademangan II, Pademangan timur sesuai kontrak no 39317/pn.01.02 tgl 21 nov 2025</t>
  </si>
  <si>
    <t>39317/PN.01.02</t>
  </si>
  <si>
    <t>38706/PN.01.02</t>
  </si>
  <si>
    <t>38708/PN.01.02</t>
  </si>
  <si>
    <t xml:space="preserve">Perbaikan hoist crane swl 25 ton pada Rumah Pompa pasar ikan  sesuai kontrak no. 38708/PN.01.02 tgl. 17 nov 2025 </t>
  </si>
  <si>
    <t>Pembayaran BPJS Ketenagakerjaan PJLP Bulan November 2025 Sudin SDA JU Penyediaan PJLP Kegiatan Kantor Sebanyak 51 Orang</t>
  </si>
  <si>
    <t>Pembayaran BPJS Ketenagakerjaan PJLP Bulan November 2025 Sudin SDA JU Penyediaan PJLP untuk Pengelolaan dan Pengembangan Sistem Penyediaan Air Minum (SPAM) sebanyak 4 Orang</t>
  </si>
  <si>
    <t>Pembayaran BPJS Ketenagakerjaan PJLP Bulan November 2025 Sudin SDA JU Penyediaan PJLP untuk Operasi dan Pemeliharaan Sistem Pengelolaan Air Limbah Domestik sebanyak 49 Orang</t>
  </si>
  <si>
    <t>Pembayaran BPJS Ketenagakerjaan PJLP Bulan November 2025 Sudin SDA JU Penyediaan PJLP untuk Operasi dan Pemeliharaan Stasiun Pompa Banjir sebanyak 525 Orang</t>
  </si>
  <si>
    <t>Pembayaran BPJS Ketenagakerjaan Bulan November 2025 Sudin SDA JU Penyediaan PJLP untuk Operasi dan Pemeliharaan Sistem Drainase sebanyak 752 Orang</t>
  </si>
  <si>
    <t>Penyediaan BBM Non subsidi produk solar merah putih B40 sebanyak 10.242l no. surat pesananan 762/ES.02.04 tgl. 3 okt 2025, SPK no.20140/PN.01.02 tgl. 27 Maret 2025, add no. 31565/PN.01.02 tgl. 2 okt 2025</t>
  </si>
  <si>
    <t>PT. ARDIA MANDIRI</t>
  </si>
  <si>
    <t>22298/PN.01.02</t>
  </si>
  <si>
    <t>perencanaan pembangunan pompa marunda pulo sesuai kontrak no. 22298/pn.01.02 tgl. 2 mei 2025</t>
  </si>
  <si>
    <t>PT. DEKADE CIPTA CARTA</t>
  </si>
  <si>
    <t>35864/PN.01.02</t>
  </si>
  <si>
    <t>jasa konsultansi pengawasan Pemb. PA perum dinas polairud sal 1-3, PA kp. Kepu rt 8 rw 7 cilincing, PA jl sulawesi ujung priok sesuai kontrak no. 35864/pn.01.02 tgl. 17 okt 2025</t>
  </si>
  <si>
    <t>37751/PN.01.02</t>
  </si>
  <si>
    <t xml:space="preserve">Perb. Dump truck isuzu B 9248 POQ, B 9252 POQ, dan B 9005 PJA sesuai kontrak no. 37751/PN.01.02 tgl. 6 nov 2025 </t>
  </si>
  <si>
    <t>0000698/SPM/10302201/XII/2025</t>
  </si>
  <si>
    <t>0000700/SPM/10302201/XII/2025</t>
  </si>
  <si>
    <t>0000699/SPM/10302201/XII/2025</t>
  </si>
  <si>
    <t>0000701/SPM/10302201/XII/2025</t>
  </si>
  <si>
    <t>0000702/SPM/10302201/XII/2025</t>
  </si>
  <si>
    <t>0000703/SPM/10302201/XII/2025</t>
  </si>
  <si>
    <t>0000704/SPM/10302201/XII/2025</t>
  </si>
  <si>
    <t>39</t>
  </si>
  <si>
    <t>40</t>
  </si>
  <si>
    <t>41</t>
  </si>
  <si>
    <t>42</t>
  </si>
  <si>
    <t>43</t>
  </si>
  <si>
    <t>44</t>
  </si>
  <si>
    <t>45</t>
  </si>
  <si>
    <t>PT. HAN HIN MUGI</t>
  </si>
  <si>
    <t>35062/PN.01.02</t>
  </si>
  <si>
    <t>jasa konsultansi pengawasan Pemb. PA gading kirana sal 6-7, PA Tarian raya barat, PA sal. Gading griya lestari, PA kp. kandang sesuai kontrak no. 35062/pn.01.02 tgl. 10 okt 2025</t>
  </si>
  <si>
    <t>0000705/SPM/10302201/XII/2025</t>
  </si>
  <si>
    <t>CV. YOSSELYN GLOBAL INTERNUSA</t>
  </si>
  <si>
    <t>EP-01K3J2YD5YVB18JZ12YX4V0NFY</t>
  </si>
  <si>
    <t>0000706/SPM/10302201/XII/2025</t>
  </si>
  <si>
    <t>pek. Perb. Mesin dan kelengkapannya untuk SPAM sesuai kontrak no. EP-01K3J2YD5YVB18JZ12YX4V0NFY tgl 27 agt 25 , add 31455/pn.01.02 tgl. 1 okt 2025</t>
  </si>
  <si>
    <t>PT. HAYANA MANDIRI KONSULTAN</t>
  </si>
  <si>
    <t>27914/PN.01.02</t>
  </si>
  <si>
    <t>0000707/SPM/10302201/XII/2025</t>
  </si>
  <si>
    <t>pengawasan pek. Sipil untuk peningkatan pompa sub polder sunter tiur 2 kebantenan (kbn cilincing) sesuai kontrak no 27914/pn.01.02 tgl 12 agt 2025, add 31569 tgl 2 okt 2025</t>
  </si>
  <si>
    <t>35858/PN.01.02</t>
  </si>
  <si>
    <t>0000708/SPM/10302201/XII/2025</t>
  </si>
  <si>
    <t>pemb. PA perum dinas polairud sal 3 semper barat sesuai kontrak no. 35858/PN.01.02 tgl. 17 okt 2025</t>
  </si>
  <si>
    <t>0000709/SPM/10302201/XII/2025</t>
  </si>
  <si>
    <t>pek. Boring kabel SKTR pompa boulevard timursesuai kontrak no. 38706/PN.01.02 tgl. 17 nov 2025</t>
  </si>
  <si>
    <t>0000710/SPM/10302201/XII/2025</t>
  </si>
  <si>
    <t>0000711/SPM/10302201/XII/2025</t>
  </si>
  <si>
    <t>0000712/SPM/10302201/XII/2025</t>
  </si>
  <si>
    <t>0000713/SPM/10302201/XII/2025</t>
  </si>
  <si>
    <t>0000714/SPM/10302201/XII/2025</t>
  </si>
  <si>
    <t>0000715/SPM/10302201/XII/2025</t>
  </si>
  <si>
    <t>0000716/SPM/10302201/XII/2025</t>
  </si>
  <si>
    <t>36805/PN.01.02</t>
  </si>
  <si>
    <t>0000717/SPM/10302201/XII/2025</t>
  </si>
  <si>
    <t>pengadaan perlatan dan kelengkapannya untuk SPAM di wilayah jakarta utara sesuai kontrak no. 36805/pn.01.02 tgl. 28 okt 2025</t>
  </si>
  <si>
    <t>PT. MARO PUTRA MANDIRI</t>
  </si>
  <si>
    <t>0000718/SPM/10302201/XII/2025</t>
  </si>
  <si>
    <t>0000719/SPM/10302201/XII/2025</t>
  </si>
  <si>
    <t>PT. LAM JAGAR NATIO</t>
  </si>
  <si>
    <t>35856/PN.01.02</t>
  </si>
  <si>
    <t>0000720/SPM/10302201/XII/2025</t>
  </si>
  <si>
    <t>Pemb. PA perum dinas polairud sal 2 sesuai kontrak no. 35856/pn.01.02 tgl. 17 okt 2025</t>
  </si>
  <si>
    <t>CV. RIZKI BERKAH BERSAMA</t>
  </si>
  <si>
    <t>EP-01K37QTHR1J1PV42GY3G5B68RA</t>
  </si>
  <si>
    <t>sistem otomatisasi pompa stasioner kapuk 3 sesuai kontrak no. EP-01K37QTHR1J1PV42GY3G5B68RA tgl 25 agt 2025, add 31576/PN.01.02 tgl. 2 okt 2025</t>
  </si>
  <si>
    <t>EP-01K6C8JBH14NW666RYXNY6CVPZ</t>
  </si>
  <si>
    <t>Pek Sipil untuk peningkatan pompa sub polder sunter timur 3 (pompa plumpang b) sesuai kontrak no. EP-01K6C8JBH14NW666RYXNY6CVPZ tgl 30 sept 2025, add 40173/pn.01.02 tgl. 1 okt 2025</t>
  </si>
  <si>
    <t>39311/PN.01.02</t>
  </si>
  <si>
    <t>perb. Dump truck hino B 9060 UOQ sesuai kontrak no 39311/PN.01.02 tgl. 21 nov 2025</t>
  </si>
  <si>
    <t>39122/PN.01.02</t>
  </si>
  <si>
    <t>perb. Hydraulic Dump truck isuzu B 9252 POQ sesuai kontrak no 39122/PN.01.02 tgl. 20 nov 2025</t>
  </si>
  <si>
    <t>EP-01KAZPYCQTHRAECRV6X16EASFM</t>
  </si>
  <si>
    <t>Perbaikan VSD Danfoss 132 KW no 2 pada rumah pompa don bosco sesuai kontrak no EP-01KAZPYCQTHRAECRV6X16EASFM tgl. 26 nov 2025</t>
  </si>
  <si>
    <t>Analisis Air Inlet dan Outlet SPALD (Bulan Agustus, September, Oktober dan November) sesuai kontrak no 13257/PN.01.02 tgl. 12 Feb 2025, add 31482/PN.01.02 tgl. 1 okt 2025</t>
  </si>
  <si>
    <t>0000721/SPM/10302201/XII/2025</t>
  </si>
  <si>
    <t>0000722/SPM/10302201/XII/2025</t>
  </si>
  <si>
    <t>0000723/SPM/10302201/XII/2025</t>
  </si>
  <si>
    <t>0000724/SPM/10302201/XII/2025</t>
  </si>
  <si>
    <t>0000725/SPM/10302201/XII/2025</t>
  </si>
  <si>
    <t>0000726/SPM/10302201/XII/2025</t>
  </si>
  <si>
    <t>PT. MULTI JAYA MESINDOTAMA</t>
  </si>
  <si>
    <t>EP-01K8QEXFN88NJJEF7DGD03NXP6</t>
  </si>
  <si>
    <t>PT. LEON PUTRA FANDOS</t>
  </si>
  <si>
    <t>37999/PN.01.02</t>
  </si>
  <si>
    <t>Pemel Bangunan Rumah Panel Pompa RW 26 Klp gdg sesuai kontrak no 37999/pn.01.02 tgl 10 nov 2025</t>
  </si>
  <si>
    <t>PT. TRICO WANA</t>
  </si>
  <si>
    <t>EP-01K1CJ4DDE0BVKZ8GWKY17W5G2</t>
  </si>
  <si>
    <t>Pemel PA jembatan jl. Pademangan II, Pademangan timur sesuai kontrak no EP-01K1CJ4DDE0BVKZ8GWKY17W5G2 tgl 30 juli 2025, add 1 no 31481 tgl 1 okt 2025, add 2 no 39988 tgl 28 nov 2025</t>
  </si>
  <si>
    <t>EP-01K8QBVZXBPY4QY8GHZMT0TFZB</t>
  </si>
  <si>
    <t>Perbaikan pompa submersible 2000 LPS no 3 pada rumah pompa banglio sesuai kontrak no EP-01K8QBVZXBPY4QY8GHZMT0TFZB tgl. 3 nov 2025</t>
  </si>
  <si>
    <t>Perbaikan pompa submersible 2000 LPS no 2 pada rumah pompa koja sesuai kontrak no EP-01K8QEXFN88NJJEF7DGD03NXP6 tgl. 3 nov 2025</t>
  </si>
  <si>
    <t>EP-01K9ESYP2415TD27F37SSQ5E32</t>
  </si>
  <si>
    <t>perb Conveyor pada Pompa Stasioner pasar ikan, teluk gong, muara angke, rawabadak, dan sunter utara sesuai kontrak EP-01K9ESYP2415TD27F37SSQ5E32 tgl. 11 nov 2025</t>
  </si>
  <si>
    <t>PT. PRIMA BERLIAN BERSAMA</t>
  </si>
  <si>
    <t>35862/PN.01.02</t>
  </si>
  <si>
    <t>0000727/SPM/10302201/XII/2025</t>
  </si>
  <si>
    <t>Pemb. PA kp kepu rt 8 rw 7  sesuai kontrak no. 35862/pn.01.02 tgl. 17 okt 2025</t>
  </si>
  <si>
    <t>0000728/SPM/10302201/XII/2025</t>
  </si>
  <si>
    <t>38037/PN.01.02</t>
  </si>
  <si>
    <t>0000729/SPM/10302201/XII/2025</t>
  </si>
  <si>
    <t>Pengukuran Topografi area RW 10 klp gdg sesuai kontrak no. 38037/pn.01.02 tgl. 10 nov 2025</t>
  </si>
  <si>
    <t>0000730/SPM/10302201/XII/2025</t>
  </si>
  <si>
    <t>PT. ISTANA IMADAH MORA</t>
  </si>
  <si>
    <t>35854/PN.01.02</t>
  </si>
  <si>
    <t>0000731/SPM/10302201/XII/2025</t>
  </si>
  <si>
    <t>Pemb. PA Perum dinas polairud sal 1 semper barat sesuai kontrak no. 35854/pn.01.02 tgl. 17 okt 2025</t>
  </si>
  <si>
    <t>0000732/SPM/10302201/XII/2025</t>
  </si>
  <si>
    <t>0000734/SPM/10302201/XII/2025</t>
  </si>
  <si>
    <t>PT. MARKO BUDI MANDIRI</t>
  </si>
  <si>
    <t>35860/PN.01.02</t>
  </si>
  <si>
    <t>0000735/SPM/10302201/XII/2025</t>
  </si>
  <si>
    <t>Pemb. PA jl. Sulawesi ujung priok sesuai kontrak no. 35860/pn.01.02 tgl. 17 okt 2025, add no 38125 tgl 11 nov 2025</t>
  </si>
  <si>
    <t>39511/PN.01.02</t>
  </si>
  <si>
    <t>0000736/SPM/10302201/XII/2025</t>
  </si>
  <si>
    <t>Pemel Komputer sesuai kontrak no 39511/pn.01.02 tgl 25 nov 2025</t>
  </si>
  <si>
    <t>38291/PN.01.02</t>
  </si>
  <si>
    <t>0000737/SPM/10302201/XII/2025</t>
  </si>
  <si>
    <t>Pemel printer sesuai kontrak no 38291/pn.01.02 tgl 12 nov 2025</t>
  </si>
  <si>
    <t>0000738/SPM/10302201/XII/2025</t>
  </si>
  <si>
    <t>Pengisian Ganti Uang Persediaan Kas Bendahara Pengeluaran Pembantu SKPD Bulan Desember 2025</t>
  </si>
  <si>
    <t>0000739/SPM/10302201/XII/2025</t>
  </si>
  <si>
    <t>0000740/SPM/10302201/XII/2025</t>
  </si>
  <si>
    <t>39319/PN.01.02</t>
  </si>
  <si>
    <t>0000741/SPM/10302201/XII/2025</t>
  </si>
  <si>
    <t>perb. Mesin breaker airman dann atlas copco sesuai kontrak no 39319/PN.01.02 tgl. 21 nov 2025</t>
  </si>
  <si>
    <t>0000742/SPM/10302201/XII/2025</t>
  </si>
  <si>
    <t>0000743/SPM/10302201/XII/2025</t>
  </si>
  <si>
    <t>CV. SARWO BATHI PERMANA</t>
  </si>
  <si>
    <t>37753/PN.01.02</t>
  </si>
  <si>
    <t>CV. INALINDO PRATAMA</t>
  </si>
  <si>
    <t>38509/PN.01.02</t>
  </si>
  <si>
    <t>CV. ABHIPRAYA SANTOSHA</t>
  </si>
  <si>
    <t>38693/PN.01.02</t>
  </si>
  <si>
    <t>pek. Revitalisasi SPALD DLH semper barat dan SPALD rawabadak sesuai kontrak no 38693/PN.01.02 tgl. 17 nov 2025</t>
  </si>
  <si>
    <t>EP-01K7GFCRXXNKT832R3K8SZ25M7</t>
  </si>
  <si>
    <t>pek. Perb dan pemasangan stoplog PA marina sesuai kontrak no. EP-01K7GFCRXXNKT832R3K8SZ25M7 tgl. 17 okt 2025</t>
  </si>
  <si>
    <t>Pemel SPALD kp. Indah lestari sesuai kontrak no 37753/PN.01.02 tgl. 6 nov 2025</t>
  </si>
  <si>
    <t>CV. ARTHA PRIMA INDAH</t>
  </si>
  <si>
    <t>38430/PN.01.02</t>
  </si>
  <si>
    <t>Pemel SPALD sunter selatan sesuai kontrak no 28430/PN.01.02 tgl. 13 nov 2025</t>
  </si>
  <si>
    <t>pek. Revitalisasi bangunan SPALD sunter selatan sesuai kontrak no 38509/PN.01.02 tgl. 14 nov 2025</t>
  </si>
  <si>
    <t>EP-01K82F78348PFBRVVRZSB6QW5Q</t>
  </si>
  <si>
    <t>pemel. Pompa merek KSB oleh PT. Mandiri hardja agung sesuai kontrak no. EP-01K82F78348PFBRVVRZSB6QW5Q tgl. 27 okt 2025</t>
  </si>
  <si>
    <t>39313/PN.01.02</t>
  </si>
  <si>
    <t>pek. Elektrikal PJU, taman, dan neon pada rumah pompa sunter selatan sesuai kontrak no 39313/PN.01.02 tgl. 21 nov 2025</t>
  </si>
  <si>
    <t>38517/PN.01.02</t>
  </si>
  <si>
    <t>Pemel SPALD Lagoa sesuai kontrak no 38517/PN.01.02 tgl. 13 nov 2025</t>
  </si>
  <si>
    <t>0000745/SPM/10302201/XII/2025</t>
  </si>
  <si>
    <t>0000746/SPM/10302201/XII/2025</t>
  </si>
  <si>
    <t>0000748/SPM/10302201/XII/2025</t>
  </si>
  <si>
    <t>PT. PADOMU ULITUA</t>
  </si>
  <si>
    <t>38003/PN.01.02</t>
  </si>
  <si>
    <t>pek. Area subpolder pompa ketel uap sesuai kontrak no 38003/PN.01.02 tgl. 10 nov 2025, add no 39990/PN.01.02 tgl. 28 nov 2025</t>
  </si>
  <si>
    <t>0000750/SPM/10302201/XII/2025</t>
  </si>
  <si>
    <t>0000751/SPM/10302201/XII/2025</t>
  </si>
  <si>
    <t>0000752/SPM/10302201/XII/2025</t>
  </si>
  <si>
    <t>0000753/SPM/10302201/XII/2025</t>
  </si>
  <si>
    <t>PT. MERAH PUTIH BERJAYA</t>
  </si>
  <si>
    <t>EP-01K85B8F1PNAJN75BBSBHXF3F4</t>
  </si>
  <si>
    <t>Pengadaan Bahan Material karung plastik bulan oktober Untuk Menunjang Kegiatan Operasi dan Pemeliharaan Drainase sesuai kontrak no EP-01K85B8F1PNAJN75BBSBHXF3F4 tgl. 23 okt 2025, add 39151 tgl 20 nov</t>
  </si>
  <si>
    <t>SPK No. 11735/PN.01.02 Tgl. 5 Februari 2025, Add No. 31421/PN.01.02 Tgl. 1 Okt 2025 Upah Aspro Bulan Ke 11 (Des) Satu (1) Orang Kegiatan Assisten Professional Staff Manajemen untuk Menunjang Kegiatan Operasi dan Pemeliharaan Stasiun Pompa Banjir</t>
  </si>
  <si>
    <t xml:space="preserve">SPK No. 11732/PN.01.02 Tgl. 5 Februari 2025, Add No. 31420/PN.01.02 Tgl. 1 Okt 2025 Upah Aspro Bulan Ke 11 (Des) Satu (1) Orang Kegiatan Assisten Professional Staff Manajemen untuk Menunjang Kegiatan Operasi dan Pemeliharaan Stasiun Pompa Banjir </t>
  </si>
  <si>
    <t>0000755/SPM/10302201/XII/2025</t>
  </si>
  <si>
    <t>0000756/SPM/10302201/XII/2025</t>
  </si>
  <si>
    <t>SPK No. 19045/PN.01.02 Tgl. 17 Maret 2025, Add No. 31459/PN.01.02 Tgl. 1 Okt 2025 Upah Aspro Bulan Ke 10 (Des) Satu (1) Orang Kegiatan Assistant Professional Staff Manajemen Kantor untuk Menunjang Kegiatan Sarana Pendukung Sistem Drainase Perkotaan</t>
  </si>
  <si>
    <t>SPK No. 19042/PN.01.02 Tgl. 17 Maret 2025, Add No. 31458/PN.01.02 Tgl. 1 Okt 2025 Upah Aspro Bulan Ke 10 (Des) Satu (1) Orang Kegiatan Assistant Professional Staff Teknis untuk Menunjang Kegiatan Sarana Pendukung Sistem Drainase Perkotaan</t>
  </si>
  <si>
    <t>0000757/SPM/10302201/XII/2025</t>
  </si>
  <si>
    <t>0000758/SPM/10302201/XII/2025</t>
  </si>
  <si>
    <t>SPK No. 4063/PN.01.02 Tgl. 2 Jan 2025, Add No. 31462/PN.01.02 Tgl. 1 Okt 2025 Upah Aspro Bulan Ke 12 (Des) Satu (1) Orang Kegiatan Assisten Professional Staff Mekanikal untuk Menunjang Kegiatan Perencanaan Sarana dan Prasarana Sistem Pengendali Banjir</t>
  </si>
  <si>
    <t xml:space="preserve">SPK No. 11429/PN.01.02 Tgl. 4 Feb 2025, Add No. 31460/PN.01.02 Tgl. 1 Okt 2025 Upah Aspro Bulan Ke 11 (Des) Satu (1) Orang Kegiatan Assisten Professional Staff Mesin untuk Menunjang Kegiatan Perencanaan Sarana dan Prasarana Sistem Pengendali Banjir </t>
  </si>
  <si>
    <t>SPK No. 4066/PN.01.02 Tgl. 2 Jan 2025, Add No. 31461/PN.01.02 Tgl. 1 Okt 2025 Upah Aspro Bulan Ke 12 (Des) Satu (1) Orang Kegiatan Assisten Professional Staff Sipil untuk Menunjang Kegiatan Perencanaan Sarana dan Prasarana Sistem Pengendali Banjir</t>
  </si>
  <si>
    <t>0000759/SPM/10302201/XII/2025</t>
  </si>
  <si>
    <t>0000760/SPM/10302201/XII/2025</t>
  </si>
  <si>
    <t>0000761/SPM/10302201/XII/2025</t>
  </si>
  <si>
    <t xml:space="preserve">SPK No. 18925/PN.01.02 Tgl. 14 Maret 2025, Add No. 31437/PN.01.02 Tgl. 1 Okt 2025 Upah Aspro Bulan Ke 10 (Des) Satu (1) Orang Kegiatan Assistant Professional Staff Drafter Lapangan untuk Menunjang Operasi dan Pemeliharaan Sistem Drainase Perkotaan </t>
  </si>
  <si>
    <t xml:space="preserve">SPK No. 18933/PN.01.02 Tgl. 14 Maret 2025, Add No. 31438/PN.01.02 Tgl. 1 Okt 2025 Upah Aspro Bulan Ke 10 (Des) Satu (1) Orang Kegiatan Assistant Professional Staff Surveyor Lapangan untuk Menunjang Operasi dan Pemeliharaan Sistem Drainase Perkotaan </t>
  </si>
  <si>
    <t xml:space="preserve">SPK No. 18931/PN.01.02 Tgl. 14 Maret 2025, Add No. 31442/PN.01.02 Tgl. 1 Okt 2025 Upah Assistant Professional Bulan Ke 10 (Des) Satu (1) Orang Kegiatan Aspro Staff Manajemen Proyek untuk Menunjang Operasi dan Pemeliharaan Sistem Drainase Perkotaan </t>
  </si>
  <si>
    <t>SPK No. 18923/PN.01.02 Tgl. 14 Maret 2025, Add No. 31441/PN.01.02 Tgl. 1 Okt 2025 Upah Aspro Bulan Ke 10 (Des) Satu (1) Orang Kegiatan Assistant Professional Staff Manajemen Kantor untuk Menunjang Operasi dan Pemeliharaan Sistem Drainase Perkotaan</t>
  </si>
  <si>
    <t>SPK No. 18927/PN.01.02 Tgl. 14 Mar 2025, Add No. 31439/PN.01.02 Tgl. 1 Okt 2025 Upah Aspro Bulan Ke 10 (Des) Satu (1) Orang Kegiatan Assistant Professional Staff Manajemen Administrasi untuk Menunjang Operasi dan Pemeliharaan Sistem Drainase Perkotaan</t>
  </si>
  <si>
    <t xml:space="preserve">SPK No. 28958/PN.01.02 Tgl. 1 Sept 2025, Add No. 31443/PN.01.02 Tgl. 1 Okt 2025 Upah Aspro Bulan Ke 4 (Des) Satu (1) Orang Kegiatan Aspro Staff Operasional Lapangan untuk Menunjang Operasi dan Pemeliharaan Sistem Drainase Perkotaan </t>
  </si>
  <si>
    <t xml:space="preserve">SPK No. 18929/PN.01.02 Tgl. 14 Maret 2025, Add No. 31436/PN.01.02 Tgl. 1 Okt 2025 Upah Aspro Bulan Ke 10 (Des) Satu (1) Orang Kegiatan Assistant Professional Staff Drafter Sipil untuk Menunjang Operasi dan Pemeliharaan Sistem Drainase Perkotaan </t>
  </si>
  <si>
    <t xml:space="preserve">SPK No. 28960/PN.01.02 Tgl. 1 Sept 2025, Add No. 31444/PN.01.02 Tgl. 1 Okt 2025 Upah Assistant Professional Bulan Ke 4 (Des) Satu (1) Orang Kegiatan Aspro Staff Manajemen Pengadaan untuk Menunjang Operasi dan Pemeliharaan Sistem Drainase Perkotaan </t>
  </si>
  <si>
    <t>SPK No. 18921/PN.01.02 Tgl. 14 Maret 2025, Add No. 31440/PN.01.02 Tgl. 1 Okt 2025 Upah Aspro Bulan Ke 10 (Des) Satu (1) Orang Kegiatan Assistant Professional Staff Manajemen Lapangan untuk Menunjang Operasi dan Pemeliharaan Sistem Drainase Perkotaan</t>
  </si>
  <si>
    <t>0000762/SPM/10302201/XII/2025</t>
  </si>
  <si>
    <t>0000763/SPM/10302201/XII/2025</t>
  </si>
  <si>
    <t>0000764/SPM/10302201/XII/2025</t>
  </si>
  <si>
    <t>0000765/SPM/10302201/XII/2025</t>
  </si>
  <si>
    <t>0000766/SPM/10302201/XII/2025</t>
  </si>
  <si>
    <t>0000767/SPM/10302201/XII/2025</t>
  </si>
  <si>
    <t>0000768/SPM/10302201/XII/2025</t>
  </si>
  <si>
    <t>0000769/SPM/10302201/XII/2025</t>
  </si>
  <si>
    <t>0000770/SPM/10302201/XII/2025</t>
  </si>
  <si>
    <t>0000771/SPM/10302201/XII/2025</t>
  </si>
  <si>
    <t>0000772/SPM/10302201/XII/2025</t>
  </si>
  <si>
    <t>0000773/SPM/10302201/XII/2025</t>
  </si>
  <si>
    <t>38888/PN.01.02</t>
  </si>
  <si>
    <t>Pemel PA I-II Jl. Masda raya pejagalan sesuai kontrak no. 358888/pn.01.02 tgl. 18 nov 2025</t>
  </si>
  <si>
    <t>31560/PN.01.02</t>
  </si>
  <si>
    <t>Perencanaan peningkatan saluran di wilayah jakarta utara sesuai kontrak no. 31560/pn.01.02 tgl. 2 okt 2025</t>
  </si>
  <si>
    <t>38519/PN.01.02</t>
  </si>
  <si>
    <t>0000774/SPM/10302201/XII/2025</t>
  </si>
  <si>
    <t>Pek. Pemel Tangki Septik di kec tj priok sesuai kontrak no 38519/PN.01.02 tgl. 14 nov 2025</t>
  </si>
  <si>
    <t>37755/PN.01.02</t>
  </si>
  <si>
    <t>Pemel SPALD Koja sesuai kontrak no 37755/PN.01.02 tgl. 6 nov 2025</t>
  </si>
  <si>
    <t>0000775/SPM/10302201/XII/2025</t>
  </si>
  <si>
    <t>0000776/SPM/10302201/XII/2025</t>
  </si>
  <si>
    <t>0000777/SPM/10302201/XII/2025</t>
  </si>
  <si>
    <t>31263/PN.01.02</t>
  </si>
  <si>
    <t>0000778/SPM/10302201/XII/2025</t>
  </si>
  <si>
    <t>pengawasan pek. Sipil untuk peningkatan pompa sub polder sunter timur 3 (pompa plumpang B) sesuai kontrak no. 31263/pn.01.02 tgl. 30 sept 2025, add  31583/pn.01.02 tgl. 2 okt 2025</t>
  </si>
  <si>
    <t>Narasumber Perencanaan Sistem Auto Template Sesuai SPK No. 31762/PN.01.02 Tgl. 6 Oktober 2025</t>
  </si>
  <si>
    <t>0000779/SPM/10302201/XII/2025</t>
  </si>
  <si>
    <t>PT. IMANUEL AGAPE</t>
  </si>
  <si>
    <t>EP-01K9S1ZNBSBH7M9RE00WN21Q5K</t>
  </si>
  <si>
    <t>pek. Perb mobile pump engine HSP nopol B 9081 UOQ, B 9082 UOQ, B 9083 UOQ, B 9084 UOQ sesuai kontrak no EP-01K9S1ZNBSBH7M9RE00WN21Q5K tgl. 17 nov 2025</t>
  </si>
  <si>
    <t>31996/PN.01.02</t>
  </si>
  <si>
    <t>pek. Perb. Rumah pompa bendungan melayu dan pompa bimoli sesuai kontrak no. 31996/pn.01.02 tgl. 8 okt 2025</t>
  </si>
  <si>
    <t>PT. SATRIA SUKSES UTAMA</t>
  </si>
  <si>
    <t>30024/PN.01.02</t>
  </si>
  <si>
    <t>0000780/SPM/10302201/XII/2025</t>
  </si>
  <si>
    <t>perb. Sal. Jl. Lontar 6 sesuai kontrak no 30024 tgl. 23 okt 2025, add 31547 tgl 2 okt 2025, add 2 40347 tgl 2 des</t>
  </si>
  <si>
    <t>0000781/SPM/10302201/XII/2025</t>
  </si>
  <si>
    <t>PT. MULTI GALA NUSANTARA</t>
  </si>
  <si>
    <t>EP-01JZSR588AXCS0ERF440N3GT9C</t>
  </si>
  <si>
    <t>38515/PN.01.02</t>
  </si>
  <si>
    <t>Pemel SPALD sunter utara sesuai kontrak no 38515/PN.01.02 tgl. 14 nov 2025</t>
  </si>
  <si>
    <t>0000782/SPM/10302201/XII/2025</t>
  </si>
  <si>
    <t>0000783/SPM/10302201/XII/2025</t>
  </si>
  <si>
    <t>0000784/SPM/10302201/XII/2025</t>
  </si>
  <si>
    <t>PT. SINAR UTARA TEKNIK</t>
  </si>
  <si>
    <t>39622/PN.01.02</t>
  </si>
  <si>
    <t>pengadaan dan pemasangan pompa 150 lps serta kelengkapannya untuk peningkatan polder sesuai kontrak no. EP-01JZSR588AXCS0ERF440N3GT9C tgl. 11 juli 2025, add  31152/pn.01.02 tgl. 2 okt 2025, add 38462/pn.01.02 tgl. 11 nov 2025</t>
  </si>
  <si>
    <t>pek. Perb. Platform pompa sunter utara no 4 dan 5 sesuai kontrak no 39622/PN.01.02 tgl. 26 nov 2025</t>
  </si>
  <si>
    <t>PT. KAMILAH LESTARI JAYA</t>
  </si>
  <si>
    <t>37397/PN.01.02</t>
  </si>
  <si>
    <t>Pemb. PA jl. Enim rt 2 rw 3, priok sesuai kontrak no. 37397/pn.01.02 tgl. 4 nov 2025</t>
  </si>
  <si>
    <t>27704/PN.01.02</t>
  </si>
  <si>
    <t>Analisis uji laboratorium air minum diwilayah jakarta utara sesuai kontrak no 27704/PN.01.02 tgl. 7 agt 2025, add 31585/PN.01.02 tgl. 21 okt 2025</t>
  </si>
  <si>
    <t>CV. AGUNG JAYA MAKMUR</t>
  </si>
  <si>
    <t>31233/PN.01.02</t>
  </si>
  <si>
    <t>0000785/SPM/10302201/XII/2025</t>
  </si>
  <si>
    <t>perb. Sal. Gendong phb tarian klp gdg sesuai kontrak no 31233 tgl. 30 sept 2025, add 31554 tgl 2 okt 2025</t>
  </si>
  <si>
    <t>0000786/SPM/10302201/XII/2025</t>
  </si>
  <si>
    <t>0000787/SPM/10302201/XII/2025</t>
  </si>
  <si>
    <t>0000788/SPM/10302201/XII/2025</t>
  </si>
  <si>
    <t>PT. ISTANA PERSAHABATAN TIMUR</t>
  </si>
  <si>
    <t>37393/PN.01.02</t>
  </si>
  <si>
    <t>Pemb. PA jl. Raya rorotan xii sesuai kontrak no. 37393/pn.01.02 tgl. 4 nov 2025</t>
  </si>
  <si>
    <t>PT. FAJARINDAH MAKMUR ABADIJAYA</t>
  </si>
  <si>
    <t>37395/PN.01.02</t>
  </si>
  <si>
    <t>Pemb. PA jl. Jembatan ketel ancol sesuai kontrak no. 37395/pn.01.02 tgl. 4 nov 2025</t>
  </si>
  <si>
    <t>37399/PN.01.02</t>
  </si>
  <si>
    <t>Jasa Konsultansi Pengawasan Pemb. PA gg. Hamjuni rt 3, PA jl. Raya rorotan, PA. jl. Jembatan ketel ancol sesuai kontrak no. 37399/pn.01.02 tgl. 4 nov 2025</t>
  </si>
  <si>
    <t>37391/PN.01.02</t>
  </si>
  <si>
    <t>pemb PA gg. Hamjuni rt 3 penjaringan sesuai kontrak no 39391/pn.01.02 tgl 4 nov 2025</t>
  </si>
  <si>
    <t>PT. SINAR NUANSA INDAH</t>
  </si>
  <si>
    <t>37598/PN.01.02</t>
  </si>
  <si>
    <t>pek. Perb. Rumah pompa gaya motor I sesuai kontrak no. 37598/pn.01.02 tgl. 5 nov 2025</t>
  </si>
  <si>
    <t>CV. G TECHNOLOGY</t>
  </si>
  <si>
    <t>38695/PN.01.02</t>
  </si>
  <si>
    <t>pek. Perb. Rumah pompa kapuk 3 sesuai kontrak no. 38695/pn.01.02 tgl. 17 nov 2025</t>
  </si>
  <si>
    <t>0000791/SPM/10302201/XII/2025</t>
  </si>
  <si>
    <t>CV. BELINDO</t>
  </si>
  <si>
    <t>EP-01KB4YZBK87EREV8H0AHPGCDM8</t>
  </si>
  <si>
    <t>0000792/SPM/10302201/XII/2025</t>
  </si>
  <si>
    <t>perb. Pompa mobile B 9007 PQU, B 9009 PQU, B 9011 PQU sesuai kontrak no EP-01KB4YZBK87EREV8H0AHPGCDM8 tgl. 1 des 2025</t>
  </si>
  <si>
    <t>0000793/SPM/10302201/XII/2025</t>
  </si>
  <si>
    <t>0000794/SPM/10302201/XII/2025</t>
  </si>
  <si>
    <t>0000795/SPM/10302201/XII/2025</t>
  </si>
  <si>
    <t>39309/PN.01.02</t>
  </si>
  <si>
    <t>0000796/SPM/10302201/XII/2025</t>
  </si>
  <si>
    <t>Perbaikan cabin dan chasis dump truck hino B 9399 POQ sesuai kontrak no 27412/PN.01.02 tgl. 21 nov 2025</t>
  </si>
  <si>
    <t>PT. GENGGAM PUTRA PRATAMA</t>
  </si>
  <si>
    <t>30918/PN.01.02</t>
  </si>
  <si>
    <t>perb. Sal. Jl. Komp deperla koja sesuai kontrak no 30918 tgl. 25 sept 2025, add 31546 tgl 21 nov 2025, add 39333 tgl 21 nov 2025</t>
  </si>
  <si>
    <t>EP-01KBC1H2TFG5A4DSY9F4C4CY4W</t>
  </si>
  <si>
    <t>Pemel. Trafo dan panel MDP pompa stasioner jakarta utara sesuai kontrak no. EP-01KBC1H2TFG5A4DSY9F4C4CY4W tgl. 1 des 2025</t>
  </si>
  <si>
    <t>pemel. PA II jl. Ancol timur pademangan sesuai kontrak no 24562/PN.01.02 tgl. 17 nov 2025</t>
  </si>
  <si>
    <t>PT. NAGA PORTY MANDIRI</t>
  </si>
  <si>
    <t>37596/PN.01.02</t>
  </si>
  <si>
    <t>pek. Perb. Pagar dan kamar mandi rumha pompa bulak cabe sesuai kontrak no 37596/PN.01.02 tgl. 5 nov 2025</t>
  </si>
  <si>
    <t>0000797/SPM/10302201/XII/2025</t>
  </si>
  <si>
    <t>0000798/SPM/10302201/XII/2025</t>
  </si>
  <si>
    <t>38103/PN.01.02</t>
  </si>
  <si>
    <t>0000799/SPM/10302201/XII/2025</t>
  </si>
  <si>
    <t>Perencanaan perkuatan dan lanskap phb sunter c sesuai kontrak no. 38103/pn.01.02 tgl. 11 nov 2025</t>
  </si>
  <si>
    <t>37387/PN.01.02</t>
  </si>
  <si>
    <t>0000800/SPM/10302201/XII/2025</t>
  </si>
  <si>
    <t>evaluasi sistem dan penyelidikan tanah pompa stasioner kampung gusti sesuai kontrak no. 37387/pn.01.02 tgl. 4 nov 2025</t>
  </si>
  <si>
    <t>37997/PN.01.02</t>
  </si>
  <si>
    <t>0000801/SPM/10302201/XII/2025</t>
  </si>
  <si>
    <t>perencanaan peningkatan pompa stasioner kampung gusti sesuai kontrak no. 37997/pn.01.02 tgl. 10 nov 2025</t>
  </si>
  <si>
    <t>0000802/SPM/10302201/XII/2025</t>
  </si>
  <si>
    <t>0000803/SPM/10302201/XII/2025</t>
  </si>
  <si>
    <t>38579/PN.01.02</t>
  </si>
  <si>
    <t>0000804/SPM/10302201/XII/2025</t>
  </si>
  <si>
    <t>pek. Revitalisasi SPALD DLH semper barat sesuai kontrak no. 38579/pn.01.02 tgl. 14 nov 2025</t>
  </si>
  <si>
    <t>EP-01K886B9PWZAGPVFT2W92STC0C</t>
  </si>
  <si>
    <t>0000805/SPM/10302201/XII/2025</t>
  </si>
  <si>
    <t>pek. Sipil perb. Rumah genset pompa pluit tengah sesuai kontrak no EP-01K886B9PWZAGPVFT2W92STC0C tgl. 24 okt 2025</t>
  </si>
  <si>
    <t>PT. BINA MUDA KONSULTAN</t>
  </si>
  <si>
    <t>39307/PN.01.02</t>
  </si>
  <si>
    <t>0000806/SPM/10302201/XII/2025</t>
  </si>
  <si>
    <t>Perencanaan rvitalisasi bangunan pompa kapuk 2 sesuai kontrak no. 39307/pn.01.02 tgl. 21 nov 2025</t>
  </si>
  <si>
    <t>0000807/SPM/10302201/XII/2025</t>
  </si>
  <si>
    <t>Pembayaran Gaji, BPJS Kesehatan 4% dan 1 % PJLP Bulan Desember 2025 Sudin SDA JU Penyediaan PJLP Kegiatan Kantor Sebanyak 51 Orang</t>
  </si>
  <si>
    <t>Pembayaran Gaji, BPJS Kesehatan 4% dan 1 % PJLP Bulan Desember 2025 Sudin SDA JU Penyediaan PJLP untuk Pengelolaan dan Pengembangan Sistem Penyediaan Air Minum (SPAM) sebanyak 4 Orang</t>
  </si>
  <si>
    <t>Pembayaran Gaji, BPJS Kesehatan 4% dan 1 % PJLP Bulan Desember 2025 Sudin SDA JU Penyediaan PJLP untuk Operasi dan Pemeliharaan Sistem Pengelolaan Air Limbah Domestik sebanyak 49 Orang</t>
  </si>
  <si>
    <t>Pembayaran BPJS Ketenagakerjaan PJLP Bulan Desember 2025 Sudin SDA JU Penyediaan PJLP Kegiatan Kantor Sebanyak 51 Orang</t>
  </si>
  <si>
    <t>Pembayaran BPJS Ketenagakerjaan PJLP Bulan Desember 2025 Sudin SDA JU Penyediaan PJLP untuk Pengelolaan dan Pengembangan Sistem Penyediaan Air Minum (SPAM) sebanyak 4 Orang</t>
  </si>
  <si>
    <t>Pembayaran BPJS Ketenagakerjaan PJLP Bulan Desember 2025 Sudin SDA JU Penyediaan PJLP untuk Operasi dan Pemeliharaan Sistem Pengelolaan Air Limbah Domestik sebanyak 49 Orang</t>
  </si>
  <si>
    <t>0000808/SPM/10302201/XII/2025</t>
  </si>
  <si>
    <t>0000809/SPM/10302201/XII/2025</t>
  </si>
  <si>
    <t>0000810/SPM/10302201/XII/2025</t>
  </si>
  <si>
    <t>0000811/SPM/10302201/XII/2025</t>
  </si>
  <si>
    <t>0000812/SPM/10302201/XII/2025</t>
  </si>
  <si>
    <t>0000813/SPM/10302201/XII/2025</t>
  </si>
  <si>
    <t>0000814/SPM/10302201/XII/2025</t>
  </si>
  <si>
    <t>0000815/SPM/10302201/XII/2025</t>
  </si>
  <si>
    <t>0000816/SPM/10302201/XII/2025</t>
  </si>
  <si>
    <t>0000817/SPM/10302201/XII/2025</t>
  </si>
  <si>
    <t>Pembayaran Gaji, BPJS Kesehatan 4% dan 1 % PJLP Bulan Desember 2025 Sudin SDA JU Penyediaan PJLP untuk Operasi dan Pemeliharaan Stasiun Pompa Banjir sebanyak 524 Orang</t>
  </si>
  <si>
    <t>Pembayaran BPJS Ketenagakerjaan Bulan Desember 2025 Sudin SDA JU Penyediaan PJLP untuk Operasi dan Pemeliharaan Sistem Drainase sebanyak 747 Orang</t>
  </si>
  <si>
    <t>Pembayaran Gaji, BPJS Kesehatan 4% dan 1 % PJLP Bulan Desember 2025 Sudin SDA JU Penyediaan PJLP untuk Operasi dan Pemeliharaan Sistem Drainase sebanyak 747 Orang</t>
  </si>
  <si>
    <t>0000818/SPM/10302201/XII/2025</t>
  </si>
  <si>
    <t>Pembayaran BPJS Ketenagakerjaan PJLP Bulan Desember 2025 Sudin SDA JU Penyediaan PJLP untuk Operasi dan Pemeliharaan Stasiun Pompa Banjir sebanyak 524 Orang</t>
  </si>
  <si>
    <t>0000819/SPM/10302201/XII/2025</t>
  </si>
  <si>
    <t>0000820/SPM/10302201/XII/2025</t>
  </si>
  <si>
    <t>40694/PN.01.02</t>
  </si>
  <si>
    <t>0000821/SPM/10302201/XII/2025</t>
  </si>
  <si>
    <t>pek. Area pompa sukapura timur sesuai kontrak no 40694/pn.01.02 tgl 4 des 2025</t>
  </si>
  <si>
    <t>38691/PN.01.02</t>
  </si>
  <si>
    <t>0000822/SPM/10302201/XII/2025</t>
  </si>
  <si>
    <t>Jasa Narasumber Pendampingan Hukum (Legal Assistance) Sebanyak 12 Orang Periode 1-31 November 2025 Sesuai SPK No. 25426/PN.01.02 Tgl. 1 Juli 2025</t>
  </si>
  <si>
    <t>0000823/SPM/10302201/XII/2025</t>
  </si>
  <si>
    <t>EP-01K9EV6KM91PXG5GP4GGR76MXP</t>
  </si>
  <si>
    <t>0000824/SPM/10302201/XII/2025</t>
  </si>
  <si>
    <t>pengadan dan pemasangan pipa kolom 150 lps serta kelengkapannya sesuai kontrak no EP-01K9EV6KM91PXG5GP4GGR76MXP tgl. 11 nov 2025</t>
  </si>
  <si>
    <t>0000825/SPM/10302201/XII/2025</t>
  </si>
  <si>
    <t>0000826/SPM/10302201/XII/2025</t>
  </si>
  <si>
    <t>PT. MANDALA SENA PERMAI</t>
  </si>
  <si>
    <t>39315/PN.01.02</t>
  </si>
  <si>
    <t>0000827/SPM/10302201/XII/2025</t>
  </si>
  <si>
    <t>pek. Sipil sal. Intake pompa teluk gong selatan sesuai kontrak no. 39315/pn.01.02 tgl. 21 nov 2025</t>
  </si>
  <si>
    <t>PT. REVORMA MANDIRI UTAMA</t>
  </si>
  <si>
    <t>40698/PN.01.02</t>
  </si>
  <si>
    <t>0000828/SPM/10302201/XII/2025</t>
  </si>
  <si>
    <t>pek. Area pompa terusan hibrida sesuai kontrak no. 40698/pn.01.02 tgl. 4 des 2025</t>
  </si>
  <si>
    <t>CV. FAJAR BUANA</t>
  </si>
  <si>
    <t>39620/PN.01.02</t>
  </si>
  <si>
    <t>pek. pemel. Bangunan rumah pompa yos sudarso 1 sesuai kontrak no 39620/PN.01.02 tgl. 26 nov 2025</t>
  </si>
  <si>
    <t>PT. DOMAS</t>
  </si>
  <si>
    <t>EP-01K8A1KYYEN00SGPHY3RGNRXKX</t>
  </si>
  <si>
    <t>pek. Pemb. Kolam olakan jl. Melur II koja sesuai kontrak no. EP-01K8A1KYYEN00SGPHY3RGNRXKX tgl. 24 okt 2025</t>
  </si>
  <si>
    <t>EP-K8T1X1CRYBRKR0D29GPTCPS7</t>
  </si>
  <si>
    <t>perb. Mekanikal PA I-II sepatan cilincing sesuai kontrak no EP-K8T1X1CRYBRKR0D29GPTCPS7 tgl. 4 nov 2025</t>
  </si>
  <si>
    <t>PT. EDTRI GRACIA ABADI</t>
  </si>
  <si>
    <t>37920/PN.01.02</t>
  </si>
  <si>
    <t>0000829/SPM/10302201/XII/2025</t>
  </si>
  <si>
    <t>pek. Perb. Pagar dan railing rumah pompa teluk gong sesuai kontrak no 37920/PN.01.02 tgl. 7 nov 2025</t>
  </si>
  <si>
    <t>Termin 2 Penyediaan sewa mesin fotocopy periode 17 juli-17 nov sesuai kontrak no.7874PN.01.02 tgl. 17 Januari 2025</t>
  </si>
  <si>
    <t>0000830/SPM/10302201/XII/2025</t>
  </si>
  <si>
    <t>0000831/SPM/10302201/XII/2025</t>
  </si>
  <si>
    <t>Penyediaan sewa mesin fotocopy periode 17 nov-31 des sesuai kontrak no.7874PN.01.02 tgl. 17 Januari 2025</t>
  </si>
  <si>
    <t>0000832/SPM/10302201/XII/2025</t>
  </si>
  <si>
    <t>CV. NOVERIANTO PUTRA PERKASA</t>
  </si>
  <si>
    <t>EP-01K9RXCRRDHVR734PPEEENR0CX</t>
  </si>
  <si>
    <t>0000833/SPM/10302201/XII/2025</t>
  </si>
  <si>
    <t>penyediaan mebeleur kantor sudin sda ju sesuai kontrak no 27412/PN.01.02 tgl. 11 nov 2025</t>
  </si>
  <si>
    <t>21273/PN.01.02</t>
  </si>
  <si>
    <t>0000834/SPM/10302201/XII/2025</t>
  </si>
  <si>
    <t>pengawasan pengadaan dan pemasangan pompa serta kelengkapannya sesuai kontrak no. 21273/pn.01.02 tgl. 21 apr 2025, add 31584 tgl 2 okt 2025</t>
  </si>
  <si>
    <t>37389/PN.01.02</t>
  </si>
  <si>
    <t>0000835/SPM/10302201/XII/2025</t>
  </si>
  <si>
    <t>pek. Area pompa stasioner BMW sesuai kontrak no. 37389/pn.01.02 tgl. 4 nov 2025,add 39992 tgl 28 nov 2025</t>
  </si>
  <si>
    <t>0000836/SPM/10302201/XII/2025</t>
  </si>
  <si>
    <t>CV. ANDRE PERMATA CEMERLANG</t>
  </si>
  <si>
    <t>38271/PN.01.02</t>
  </si>
  <si>
    <t>0000837/SPM/10302201/XII/2025</t>
  </si>
  <si>
    <t>pek. Area subpolder pompa JIS dan pompa mangga dua square sesuai kontrak no 38271/PN.01.02 tgl. 12 nov 2025</t>
  </si>
  <si>
    <t>0000838/SPM/10302201/XII/2025</t>
  </si>
  <si>
    <t>Pengadaan dan Pemasangan Pompa 500 Lps serta Kelengkapannya untuk Peningkatan Polder Termin II (100%) sesuai kontrak no. 19582/pn.01.02 tgl. 21 Mar 2025, add 1 31474 tgl 1 okt, add 2 38592 tgl 14 nov 2025</t>
  </si>
  <si>
    <t>40315/PN.01.02</t>
  </si>
  <si>
    <t>Pengukuran Topografi peningkatan sal drainase perkotaan sesuai kontrak no. 40315/pn.01.02 tgl. 2 des 2025</t>
  </si>
  <si>
    <t>40696/PN.01.02</t>
  </si>
  <si>
    <t xml:space="preserve">Pekerjaan area pompa ancol carnaval sesuai kontrak mo. 40696/PN.01.02 tgl. 4 des 2025 </t>
  </si>
  <si>
    <t>38101/PN.01.02</t>
  </si>
  <si>
    <t xml:space="preserve">pek. Perb. Konstruksi sipil PA I-II sepatan cilincing sesuai kontrak mo. 38101/PN.01.02 tgl. 11 nov 2025 </t>
  </si>
  <si>
    <t>0000839/SPM/10302201/XII/2025</t>
  </si>
  <si>
    <t>0000840/SPM/10302201/XII/2025</t>
  </si>
  <si>
    <t>0000841/SPM/10302201/XII/2025</t>
  </si>
  <si>
    <t>0000842/SPM/10302201/XII/2025</t>
  </si>
  <si>
    <t>0000843/SPM/10302201/XII/2025</t>
  </si>
  <si>
    <t>0000844/SPM/10302201/XII/2025</t>
  </si>
  <si>
    <t>EP-01K8T1X1CRYBRKR0D29GPTCPS7</t>
  </si>
  <si>
    <t>PT. RAMA KASIH SEMPURNA</t>
  </si>
  <si>
    <t>EP-01K8QQV6ZYDH93FNY2VTGDYSWH</t>
  </si>
  <si>
    <t>0000846/SPM/10302201/XII/2025</t>
  </si>
  <si>
    <t>renovasi kantor sudin sda ju sesuai kontrak no 39991/PN.01.02 tgl. 14 nov 2025</t>
  </si>
  <si>
    <t>0000845/SPM/10302201/XII/2025</t>
  </si>
  <si>
    <t>PT. DUA TUNAS SEJAHTERA</t>
  </si>
  <si>
    <t>37931/PN.01.02</t>
  </si>
  <si>
    <t>0000847/SPM/10302201/XII/2025</t>
  </si>
  <si>
    <t>pengawasan pek renovasi kantor sudin sda ju sesuai kontrak no 37931/PN.01.02 tgl. 7 nov 2025</t>
  </si>
  <si>
    <t>36813/PN.01.02</t>
  </si>
  <si>
    <t>0000848/SPM/10302201/XII/2025</t>
  </si>
  <si>
    <t>pengawasan pek pemb. Kolam olakan jl. Melur II kja sesuai kontrak no 36813/PN.01.02 tgl. 28 okt 2025</t>
  </si>
  <si>
    <t>40710/PN.01.02</t>
  </si>
  <si>
    <t>0000849/SPM/10302201/XII/2025</t>
  </si>
  <si>
    <t>Pengawasan pek. Area pompa sukapura timur, pompa terusan hibrida, pompa ancol karnaval sesuai kontrak no. 40710/pn.01.02 tgl. 4 des 2025</t>
  </si>
  <si>
    <t>PT. KARYA ENERGI SAKTI</t>
  </si>
  <si>
    <t>40574/PN.01.02</t>
  </si>
  <si>
    <t>0000850/SPM/10302201/XII/2025</t>
  </si>
  <si>
    <t>pemel AC sesuai kontrak no 40574/PN.01.02 tgl. 3 des 2025</t>
  </si>
  <si>
    <t>0000851/SPM/10302201/XII/2025</t>
  </si>
  <si>
    <t>39618/PN.01.02</t>
  </si>
  <si>
    <t>0000853/SPM/10302201/XII/2025</t>
  </si>
  <si>
    <t>Pemel SPALD tunas harapan sesuai kontrak no 39618/PN.01.02 tgl. 26 nov 2025, add no 40888 tgl 5 des 2025</t>
  </si>
  <si>
    <t>PT. JAYA TEKNIK INDONESIA</t>
  </si>
  <si>
    <t>EP-01JYNYJPR4M21PP99TNMCSAZAP</t>
  </si>
  <si>
    <t>0000854/SPM/10302201/XII/2025</t>
  </si>
  <si>
    <t>pengadaan dan pmasangan pompa 200 lps serta kelengkapannya untuk peningkstan polder sesuai kontrak no. EP-01JYNYJPR4M21PP99TNMCSAZAP tgl. 1 juli 2025</t>
  </si>
  <si>
    <t>PT. PRATAMA MAJU BERKARYA</t>
  </si>
  <si>
    <t>39802/PN.01.02</t>
  </si>
  <si>
    <t>0000855/SPM/10302201/XII/2025</t>
  </si>
  <si>
    <t xml:space="preserve">pemel PA I-II pegangsaan indah barat I rw 16 sesuai kontrak mo. 39802/PN.01.02 tgl. 27 nov 2025 </t>
  </si>
  <si>
    <t>19067/PN.01.02</t>
  </si>
  <si>
    <t>0000856/SPM/10302201/XII/2025</t>
  </si>
  <si>
    <t>0 0000340/SPD/I/2026 Tgl. 8 Januari 2026</t>
  </si>
  <si>
    <t>GJ-01/01/2026</t>
  </si>
  <si>
    <t>GJ-01/02/2026</t>
  </si>
  <si>
    <t>GJ-01/03/2026</t>
  </si>
  <si>
    <t>GJ-01/04/2026</t>
  </si>
  <si>
    <t>GJ-01/05/2026</t>
  </si>
  <si>
    <t>Pembayaran Gaji, BPJS Kesehatan 4% dan 1 % PJLP Bulan Januari 2026 Sudin SDA JU Penyediaan PJLP untuk Operasi dan Pemeliharaan Sistem Pengelolaan Air Limbah Domestik sebanyak 49 Orang</t>
  </si>
  <si>
    <t>0000001/SPP/10302201/II/2026</t>
  </si>
  <si>
    <t>0000002/SPP/10302201/II/2026</t>
  </si>
  <si>
    <t>0000003/SPP/10302201/II/2026</t>
  </si>
  <si>
    <t>0000004/SPP/10302201/II/2026</t>
  </si>
  <si>
    <t>0000005/SPP/10302201/II/2026</t>
  </si>
  <si>
    <t>0000002/SPM/10302201/II/2026</t>
  </si>
  <si>
    <t>0000003/SPM/10302201/II/2026</t>
  </si>
  <si>
    <t>0000004/SPM/10302201/II/2026</t>
  </si>
  <si>
    <t>0000005/SPM/10302201/II/2026</t>
  </si>
  <si>
    <t>0000006/SPM/10302201/II/2026</t>
  </si>
  <si>
    <t>0000006/SPP/10302201/II/2026</t>
  </si>
  <si>
    <t>Pembayaran Gaji, BPJS Kesehatan 4% dan 1 % PJLP Bulan Januari 2026 Sudin SDA JU Penyediaan PJLP Kegiatan Kantor Sebanyak 50 Orang</t>
  </si>
  <si>
    <t>Pembayaran Gaji, BPJS Kesehatan 4% dan 1 % PJLP Bulan Januari 2026 Sudin SDA JU Penyediaan PJLP untuk Operasi dan Pemeliharaan Stasiun Pompa Banjir sebanyak 370 Orang</t>
  </si>
  <si>
    <t>Pembayaran Gaji, BPJS Kesehatan 4% dan 1 % PJLP Bulan Januari 2026 Sudin SDA JU Penyediaan PJLP untuk Pengelolaan dan Pengembangan Sistem Penyediaan Air Minum (SPAM) sebanyak 4 Orang</t>
  </si>
  <si>
    <t>Pembayaran Gaji, BPJS Kesehatan 4% dan 1 % PJLP Bulan Januari 2026 Sudin SDA JU Penyediaan PJLP untuk Operasi dan Pemeliharaan Sistem Drainase sebanyak 734 Orang</t>
  </si>
  <si>
    <t>1/GU-2/2026</t>
  </si>
  <si>
    <t>Pengisian Uang Persediaan Kas Bendahara Pengeluaran Pembantu SKPD Bulan Februari 2026</t>
  </si>
  <si>
    <t>0000007/SPM/10302201/II/2026</t>
  </si>
  <si>
    <t>5.1.02.02.001.00021  5.1.02.02.001.00035  5.1.02.02.002.00005</t>
  </si>
  <si>
    <t>1.03.06 PROGRAM PENGELOLAAN DAN PENGEMBANGAN SISTEM DRAINASE</t>
  </si>
  <si>
    <t>5.1.02.02.001.00021  5.1.02.02.001.00031  5.1.02.02.001.00033  5.1.02.02.001.00053 5.1.02.02.002.00005</t>
  </si>
  <si>
    <t>1.03.05 PROGRAM PENGELOLAAN DANPENGEMBANGAN SISTEM AIR LIMBAH</t>
  </si>
  <si>
    <t>5.1.02.02.001.00021 5.1.02.02.002.00005</t>
  </si>
  <si>
    <t>1.03.03 PROGRAM PENGELOLAAN DAN PENGEMBANGAN SISTEM PENYEDIAAN AIR</t>
  </si>
  <si>
    <t>5.1.02.02.001.00026  5.1.02.02.001.00032  5.1.02.02.001.00033 5.1.02.02.001.00039  5.1.02.02.001.00053 5.1.02.02.002.00005</t>
  </si>
  <si>
    <t>5.1.02.02.001.00088 5.1.02.02.002.00005</t>
  </si>
  <si>
    <t>0000008/SPM/10302201/II/2026</t>
  </si>
  <si>
    <t>GJ.PW-01/01/2026</t>
  </si>
  <si>
    <t>0000007/SPP/10302201/II/2026</t>
  </si>
  <si>
    <t>Pembayaran Gaji, BPJS Kesehatan 4% dan 1% dan THT 3.25% PPPK PW Bulan Januari 2026 Sudin SDA JU Untuk Penyediaan Jasa Pelayanan Umum Kantor Sebanyak 1 Orang</t>
  </si>
  <si>
    <t>5.1.02.02.001.00087 5.1.02.02.001.00088 5.1.02.02.002.00005</t>
  </si>
  <si>
    <t>0000009/SPM/10302201/II/2026</t>
  </si>
  <si>
    <t>Pembayaran Gaji, BPJS Kesehatan 4% dan 1% dan THT 3.25% PPPK PW Bulan Januari 2026 Sudin SDA JU Untuk Operasi dan Pemel Stasiun Pompa Banjir Sebanyak 146 Orang</t>
  </si>
  <si>
    <t>GJ.PW-01/02/2026</t>
  </si>
  <si>
    <t>0000008/SPP/10302201/II/2026</t>
  </si>
  <si>
    <t>0000010/SPM/10302201/II/2026</t>
  </si>
  <si>
    <t>0000011/SPM/10302201/II/2026</t>
  </si>
  <si>
    <t>Pembayaran Gaji, BPJS Kesehatan 4% dan 1% dan THT 3.25% PPPK PW Bulan Januari 2026 Sudin SDA JU Untuk Operasi dan Pemel Sistem Pengelolaan Air Limbah Domestik Sebanyak 4 Orang</t>
  </si>
  <si>
    <t>GJ.PW-01/04/2026</t>
  </si>
  <si>
    <t>GJ.PW-01/05/2026</t>
  </si>
  <si>
    <t>Pembayaran Gaji, BPJS Kesehatan 4% dan 1% dan THT 3.25% PPPK PW Bulan Januari 2026 Sudin SDA JU Untuk Operasi dan Pemel Sistem Drainase Sebanyak 3 Orang</t>
  </si>
  <si>
    <t>0000009/SPP/10302201/II/2026</t>
  </si>
  <si>
    <t>0000010/SPP/10302201/II/2026</t>
  </si>
  <si>
    <t>1.03.06.1.01.0010 Operasi dan Pemeliharaan Sistem Drainase Perkotaan</t>
  </si>
  <si>
    <t>5.1.02.02.008.00008</t>
  </si>
  <si>
    <t>0000012/SPM/10302201/II/2026</t>
  </si>
  <si>
    <t>AssPro-BA/1/2026</t>
  </si>
  <si>
    <t>0000011/SPP/10302201/II/2026</t>
  </si>
  <si>
    <t>Upah Aspro Bulan Ke 1 (Jan) Satu (1) Orang Kegiatan Assistant Professional Staff Sipil untuk Menunjang Operasi dan Pemeliharaan Sistem Drainase Perkotaan 03 SPK No. 2736/PN.01.02 Tgl. 2 Jan 2026</t>
  </si>
  <si>
    <t>0000012/SPP/10302201/II/2026</t>
  </si>
  <si>
    <t>AssPro-LH/1/2026</t>
  </si>
  <si>
    <t>Upah Aspro Bulan Ke 1 (Jan) Satu (1) Orang Kegiatan Assistant Professional Staff Sipil untuk Menunjang Operasi dan Pemeliharaan Sistem Drainase Perkotaan 01 SPK No. 2742/PN.01.02 Tgl. 2 Jan 2026</t>
  </si>
  <si>
    <t>0000013/SPM/10302201/II/2026</t>
  </si>
  <si>
    <t>0000014/SPM/10302201/II/2026</t>
  </si>
  <si>
    <t>Upah Aspro Bulan Ke 1 (Jan) Satu (1) Orang Kegiatan Assistant Professional Staff Manajemen Proyek untuk Menunjang Operasi dan Pemeliharaan Sistem Drainase Perkotaan 02 SPK No. 2730/PN.01.02 Tgl. 2 Jan 2026</t>
  </si>
  <si>
    <t>AssPro-RM/1/2026</t>
  </si>
  <si>
    <t>0000013/SPP/10302201/II/2026</t>
  </si>
  <si>
    <t>0000014/SPP/10302201/II/2026</t>
  </si>
  <si>
    <t>AssPro-RR/1/2026</t>
  </si>
  <si>
    <t>Upah Aspro Bulan Ke 1 (Jan) Satu (1) Orang Kegiatan Assistant Professional Staff Manajemen Proyek untuk Menunjang Operasi dan Pemeliharaan Sistem Drainase Perkotaan 01 SPK No. 2739/PN.01.02 Tgl. 2 Jan 2026</t>
  </si>
  <si>
    <t>0000015/SPM/10302201/II/2026</t>
  </si>
  <si>
    <t>0000016/SPM/10302201/II/2026</t>
  </si>
  <si>
    <t>AssPro-MNQ/1/2026</t>
  </si>
  <si>
    <t>Upah Aspro Bulan Ke 1 (Jan) Satu (1) Orang Kegiatan Assistant Professional Staff Drafter Sipil untuk Menunjang Operasi dan Pemeliharaan Sistem Drainase Perkotaan 01 SPK No. 2751/PN.01.02 Tgl. 2 Jan 2026</t>
  </si>
  <si>
    <t>0000015/SPP/10302201/II/2026</t>
  </si>
  <si>
    <t>0000016/SPP/10302201/II/2026</t>
  </si>
  <si>
    <t>AssPro-YSP/1/2026</t>
  </si>
  <si>
    <t>Upah Aspro Bulan Ke 1 (Jan) Satu (1) Orang Kegiatan Assistant Professional Staff Drafter Sipil untuk Menunjang Operasi dan Pemeliharaan Sistem Drainase Perkotaan 02 SPK No. 2733/PN.01.02 Tgl. 2 Jan 2026</t>
  </si>
  <si>
    <t>0000017/SPM/10302201/II/2026</t>
  </si>
  <si>
    <t>0000018/SPM/10302201/II/2026</t>
  </si>
  <si>
    <t>Upah Aspro Bulan Ke 1 (Jan) Satu (1) Orang Kegiatan Assistant Professional Staff Sipil untuk Menunjang Operasi dan Pemeliharaan Sistem Drainase Perkotaan 02 SPK No. 2745/PN.01.02 Tgl. 2 Jan 2026</t>
  </si>
  <si>
    <t>AssPro-RMH/1/2026</t>
  </si>
  <si>
    <t>0000017/SPP/10302201/II/2026</t>
  </si>
  <si>
    <t>0000018/SPP/10302201/II/2026</t>
  </si>
  <si>
    <t>AssPro-RRN/1/2026</t>
  </si>
  <si>
    <t>0000019/SPM/10302201/II/2026</t>
  </si>
  <si>
    <t>Upah Aspro Bulan Ke 1 (Jan) Satu (1) Orang Kegiatan Assistant Professional Staff Manajemen Pengadaan  Barang Jasa untuk Menunjang Operasi dan Pemeliharaan Sistem Drainase Perkotaan SPK No. 2748/PN.01.02 Tgl. 2 Jan 2026</t>
  </si>
  <si>
    <t>0000019/SPP/10302201/II/2026</t>
  </si>
  <si>
    <t>AssPro-FIS/1/2026</t>
  </si>
  <si>
    <t>Upah Aspro Bulan Ke 1 (Jan) Satu (1) Orang Kegiatan Assistant Professional Staff Mekanikal untuk Menunjang Operasi dan Pemeliharaan Stasiun Pompa Banjir SPK No. 2819/PN.01.02 Tgl. 2 Jan 2026</t>
  </si>
  <si>
    <t>0000020/SPM/10302201/II/2026</t>
  </si>
  <si>
    <t>0000020/SPP/10302201/II/2026</t>
  </si>
  <si>
    <t>AssPro-ITW/1/2026</t>
  </si>
  <si>
    <t>0000021/SPM/10302201/II/2026</t>
  </si>
  <si>
    <t>Upah Aspro Bulan Ke 1 (Jan) Satu (1) Orang Kegiatan Assistant Professional Staff Manajemen Pengadaan untuk Menunjang Operasi dan Pemeliharaan Stasiun Pompa Banjir SPK No. 2811/PN.01.02 Tgl. 8 Jan 2026</t>
  </si>
  <si>
    <t>1.03.06.1.01.0008 Pembangunan Sistem Drainase Perkotaan</t>
  </si>
  <si>
    <t>0000022/SPM/10302201/II/2026</t>
  </si>
  <si>
    <t>AssPro-HS/1/2026</t>
  </si>
  <si>
    <t>Upah Aspro Bulan Ke 1 (Jan) Satu (1) Orang Kegiatan Assistant Professional Staff Sipil untuk Menunjang Kegiatan Penyediaan Sarana Pendukung Sistem Drainase Perkotaan SPK No. 2724/PN.01.02 Tgl. 2 Jan 2026</t>
  </si>
  <si>
    <t>0000021/SPP/10302201/II/2026</t>
  </si>
  <si>
    <t>0000022/SPP/10302201/II/2026</t>
  </si>
  <si>
    <t>AssPro-MO/1/2026</t>
  </si>
  <si>
    <t>Upah Aspro Bulan Ke 1 (Jan) Satu (1) Orang Kegiatan Assistant Professional Staff Manajemen Proyek untuk Menunjang Kegiatan Penyediaan Sarana Pendukung Sistem Drainase Perkotaan SPK No. 2729/PN.01.02 Tgl. 2 Jan 2026</t>
  </si>
  <si>
    <t>0000023/SPM/10302201/II/2026</t>
  </si>
  <si>
    <t>1.03.02.1.01.0122 Penyusunan Rencana Teknis dan Dokumen Lingkungan Hidup untuk Konstruksi Pengendali Banjir, Lahar, dan Pengaman Pantai</t>
  </si>
  <si>
    <t>0000024/SPM/10302201/II/2026</t>
  </si>
  <si>
    <t>Apriyani Talaohu</t>
  </si>
  <si>
    <t>AssPro-AA/1/2026</t>
  </si>
  <si>
    <t>197604052008042001</t>
  </si>
  <si>
    <t>Kepala Seksi Perencanaan</t>
  </si>
  <si>
    <t>0000023/SPP/10302201/II/2026</t>
  </si>
  <si>
    <t>Upah Aspro Bulan Ke 1 (Jan) Satu (1) Orang Kegiatan Assistant Professional Staff Mekanikal untuk Menunjang Kegiatan Perencanaan Sarana dan Prasarana Sistem Pengendali Banjir 02 SPK No. 2760/PN.01.02 Tgl. 2 Jan 2026</t>
  </si>
  <si>
    <t>0000025/SPM/10302201/II/2026</t>
  </si>
  <si>
    <t>AssPro-ALM/1/2026</t>
  </si>
  <si>
    <t>Upah Aspro Bulan Ke 1 (Jan) Satu (1) Orang Kegiatan Assistant Professional Staff Sipil untuk Menunjang Kegiatan Perencanaan Sarana dan Prasarana Sistem Pengendali Banjir SPK No. 2745/PN.01.02 Tgl. 2 Jan 2026</t>
  </si>
  <si>
    <t>0000024/SPP/10302201/II/2026</t>
  </si>
  <si>
    <t>0000026/SPM/10302201/II/2026</t>
  </si>
  <si>
    <t>AssPro-YFB/1/2026</t>
  </si>
  <si>
    <t>0000025/SPP/10302201/II/2026</t>
  </si>
  <si>
    <t>Upah Aspro Bulan Ke 1 (Jan) Satu (1) Orang Kegiatan Assistant Professional Staff Mekanikal untuk Menunjang Kegiatan Perencanaan Sarana dan Prasarana Sistem Pengendali Banjir 01 SPK No. 2757/PN.01.02 Tgl. 2 Jan 2026</t>
  </si>
  <si>
    <t>5.1.02.02.002.00006 5.1.02.02.002.00007</t>
  </si>
  <si>
    <t>0000027/SPM/10302201/II/2026</t>
  </si>
  <si>
    <t>Naker-01/01/2026</t>
  </si>
  <si>
    <t>Pembayaran BPJS Ketenagakerjaan PJLP Bulan Januari 2026 Sudin SDA JU Penyediaan Jasa Pelayanan Umum Kantor Sebanyak 50 Orang</t>
  </si>
  <si>
    <t>0000026/SPP/10302201/II/2026</t>
  </si>
  <si>
    <t>0000028/SPM/10302201/II/2026</t>
  </si>
  <si>
    <t>Pembayaran BPJS Ketenagakerjaan PJLP Bulan Januari 2026 Sudin SDA JU Penyediaan PJLP untuk Operasi dan Pemeliharaan Stasiun Pompa Banjir sebanyak 370 Orang</t>
  </si>
  <si>
    <t>Naker-01/02/2026</t>
  </si>
  <si>
    <t>0000027/SPP/10302201/II/2026</t>
  </si>
  <si>
    <t>0000029/SPM/10302201/II/2026</t>
  </si>
  <si>
    <t>0000030/SPM/10302201/II/2026</t>
  </si>
  <si>
    <t>0000028/SPP/10302201/II/2026</t>
  </si>
  <si>
    <t>0000029/SPP/10302201/II/2026</t>
  </si>
  <si>
    <t>0000030/SPP/10302201/II/2026</t>
  </si>
  <si>
    <t>Naker-01/03/2026</t>
  </si>
  <si>
    <t>Naker-01/04/2026</t>
  </si>
  <si>
    <t>Naker-01/05/2026</t>
  </si>
  <si>
    <t>Pembayaran BPJS Ketenagakerjaan PJLP Bulan Januari 2026 Sudin SDA JU Penyediaan PJLP untuk Pengelolaan dan Pengembangan Sistem Penyediaan Air Minum (SPAM) sebanyak 4 Orang</t>
  </si>
  <si>
    <t>Pembayaran BPJS Ketenagakerjaan PJLP Bulan Januari 2026 Sudin SDA JU Penyediaan PJLP untuk Operasi dan Pemeliharaan Sistem Pengelolaan Air Limbah Domestik sebanyak 49 Orang</t>
  </si>
  <si>
    <t>Pembayaran BPJS Ketenagakerjaan PJLP Bulan Januari 2026 Sudin SDA JU Penyediaan PJLP untuk Operasi dan Pemeliharaan Sistem Drainase sebanyak 734 Orang</t>
  </si>
  <si>
    <t>0000031/SPM/10302201/II/2026</t>
  </si>
  <si>
    <t>0000033/SPM/10302201/II/2026</t>
  </si>
  <si>
    <t>0000034/SPM/10302201/II/2026</t>
  </si>
  <si>
    <t>0000035/SPM/10302201/II/2026</t>
  </si>
  <si>
    <t>Naker.PW-01/01/2026</t>
  </si>
  <si>
    <t>Naker.PW-01/02/2026</t>
  </si>
  <si>
    <t>Naker.PW-01/04/2026</t>
  </si>
  <si>
    <t>Naker.PW-01/05/2026</t>
  </si>
  <si>
    <t>0000032/SPP/10302201/II/2026</t>
  </si>
  <si>
    <t>0000033/SPP/10302201/II/2026</t>
  </si>
  <si>
    <t>0000034/SPP/10302201/II/2026</t>
  </si>
  <si>
    <t>Pembayaran BPJS Ketenagakerjaan PPPK PW Bulan Januari 2026 Sudin SDA JU Untuk Penyediaan Jasa Pelayanan Umum Kantor Sebanyak 1 Orang</t>
  </si>
  <si>
    <t>Pembayaran BPJS Ketenagakerjaan PPPK PW Bulan Januari 2026 Sudin SDA JU Untuk Operasi dan Pemel Stasiun Pompa Banjir Sebanyak 146 Orang</t>
  </si>
  <si>
    <t>Pembayaran BPJS Ketenagakerjaan PPPK PW Bulan Januari 2026 Sudin SDA JU Untuk Operasi dan Pemel Sistem Pengelolaan Air Limbah Domestik Sebanyak 4 Orang</t>
  </si>
  <si>
    <t>Pembayaran BPJS Ketenagakerjaan PPPK PW Bulan Januari 2026 Sudin SDA JU Untuk Operasi dan Pemel Sistem Drainase Sebanyak 3 Orang</t>
  </si>
  <si>
    <t>0000035/SPP/10302201/II/2026</t>
  </si>
  <si>
    <t>0000036/SPM/10302201/II/2026</t>
  </si>
  <si>
    <t>0 0001275/SPD/I/2026 Tgl. 29 Januari 2026</t>
  </si>
  <si>
    <t>0000037/SPM/10302201/II/2026</t>
  </si>
  <si>
    <t>Pengisian Ganti Uang Persediaan Kas Bendahara Pengeluaran Pembantu SKPD Bulan Februari 2026</t>
  </si>
  <si>
    <t>2/GU-2/2026</t>
  </si>
  <si>
    <t>0000036/SPP/10302201/II/2026</t>
  </si>
  <si>
    <t>0000037/SPP/10302201/III/2026</t>
  </si>
  <si>
    <t>0000038/SPP/10302201/III/2026</t>
  </si>
  <si>
    <t>0000039/SPP/10302201/III/2026</t>
  </si>
  <si>
    <t>0000040/SPP/10302201/III/2026</t>
  </si>
  <si>
    <t>0000041/SPP/10302201/III/2026</t>
  </si>
  <si>
    <t>GJ-02/01/2026</t>
  </si>
  <si>
    <t>GJ-02/02/2026</t>
  </si>
  <si>
    <t>Pembayaran Gaji, BPJS Kesehatan 4% dan 1 % PJLP Bulan Februari 2026 Sudin SDA JU Penyediaan PJLP Kegiatan Kantor Sebanyak 50 Orang</t>
  </si>
  <si>
    <t>Pembayaran Gaji, BPJS Kesehatan 4% dan 1 % PJLP Bulan Februari 2026 Sudin SDA JU Penyediaan PJLP untuk Operasi dan Pemeliharaan Stasiun Pompa Banjir sebanyak 370 Orang</t>
  </si>
  <si>
    <t>Pembayaran Gaji, BPJS Kesehatan 4% dan 1 % PJLP Bulan Februari 2026 Sudin SDA JU Penyediaan PJLP untuk Pengelolaan dan Pengembangan Sistem Penyediaan Air Minum (SPAM) sebanyak 4 Orang</t>
  </si>
  <si>
    <t>Pembayaran Gaji, BPJS Kesehatan 4% dan 1 % PJLP Bulan Februari 2026 Sudin SDA JU Penyediaan PJLP untuk Operasi dan Pemeliharaan Sistem Pengelolaan Air Limbah Domestik sebanyak 49 Orang</t>
  </si>
  <si>
    <t>0000038/SPM/10302201/III/2026</t>
  </si>
  <si>
    <t>0000039/SPM/10302201/III/2026</t>
  </si>
  <si>
    <t>0000040/SPM/10302201/III/2026</t>
  </si>
  <si>
    <t>0000041/SPM/10302201/III/2026</t>
  </si>
  <si>
    <t>0000042/SPM/10302201/III/2026</t>
  </si>
  <si>
    <t>Pembayaran Gaji, BPJS Kesehatan 4% dan 1 % PJLP Bulan Februari 2026 Sudin SDA JU Penyediaan PJLP untuk Operasi dan Pemeliharaan Sistem Drainase sebanyak 733 Orang</t>
  </si>
  <si>
    <t>GJ-02/05/2026</t>
  </si>
  <si>
    <t>GJ-02/04/2026</t>
  </si>
  <si>
    <t>GJ-02/03/2026</t>
  </si>
  <si>
    <t>0000043/SPM/10302201/III/2026</t>
  </si>
  <si>
    <t>0000044/SPM/10302201/III/2026</t>
  </si>
  <si>
    <t>0000045/SPM/10302201/III/2026</t>
  </si>
  <si>
    <t>0000046/SPM/10302201/III/2026</t>
  </si>
  <si>
    <t>Pembayaran Gaji, BPJS Kesehatan 4% dan 1% dan THT 3.25% PPPK PW Bulan Februari 2026 Sudin SDA JU Untuk Penyediaan Jasa Pelayanan Umum Kantor Sebanyak 1 Orang</t>
  </si>
  <si>
    <t>Pembayaran Gaji, BPJS Kesehatan 4% dan 1% dan THT 3.25% PPPK PW Bulan Februari 2026 Sudin SDA JU Untuk Operasi dan Pemel Stasiun Pompa Banjir Sebanyak 146 Orang</t>
  </si>
  <si>
    <t>Pembayaran Gaji, BPJS Kesehatan 4% dan 1% dan THT 3.25% PPPK PW Bulan Februari 2026 Sudin SDA JU Untuk Operasi dan Pemel Sistem Pengelolaan Air Limbah Domestik Sebanyak 4 Orang</t>
  </si>
  <si>
    <t>Pembayaran Gaji, BPJS Kesehatan 4% dan 1% dan THT 3.25% PPPK PW Bulan Februari 2026 Sudin SDA JU Untuk Operasi dan Pemel Sistem Drainase Sebanyak 3 Orang</t>
  </si>
  <si>
    <t>GJ.PW-02/01/2026</t>
  </si>
  <si>
    <t>GJ.PW-02/02/2026</t>
  </si>
  <si>
    <t>GJ.PW-02/04/2026</t>
  </si>
  <si>
    <t>GJ.PW-02/05/2026</t>
  </si>
  <si>
    <t>0000042/SPP/10302201/III/2026</t>
  </si>
  <si>
    <t>0000043/SPP/10302201/III/2026</t>
  </si>
  <si>
    <t>0000044/SPP/10302201/III/2026</t>
  </si>
  <si>
    <t>0000045/SPP/10302201/III/2026</t>
  </si>
  <si>
    <t>Tujuh juta</t>
  </si>
  <si>
    <t>0000047/SPM/10302201/III/2026</t>
  </si>
  <si>
    <t>Upah Aspro Bulan Ke 2 (Feb) Satu (1) Orang Kegiatan Assistant Professional Staff Sipil untuk Menunjang Kegiatan Perencanaan Sarana dan Prasarana Sistem Pengendali Banjir SPK No. 2745/PN.01.02 Tgl. 2 Jan 2026</t>
  </si>
  <si>
    <t>AssPro-ALM/2/2026</t>
  </si>
  <si>
    <t>0000046/SPP/10302201/III/2026</t>
  </si>
  <si>
    <t>0000048/SPM/10302201/III/2026</t>
  </si>
  <si>
    <t>Upah Aspro Bulan Ke 2 (Feb) Satu (1) Orang Kegiatan Assistant Professional Staff Mekanikal untuk Menunjang Kegiatan Perencanaan Sarana dan Prasarana Sistem Pengendali Banjir 02 SPK No. 2760/PN.01.02 Tgl. 2 Jan 2026</t>
  </si>
  <si>
    <t>AssPro-AA/2/2026</t>
  </si>
  <si>
    <t>0000047/SPP/10302201/III/2026</t>
  </si>
  <si>
    <t>0000048/SPP/10302201/III/2026</t>
  </si>
  <si>
    <t>AssPro-RR/2/2026</t>
  </si>
  <si>
    <t>0000049/SPM/10302201/III/2026</t>
  </si>
  <si>
    <t>0000049/SPP/10302201/III/2026</t>
  </si>
  <si>
    <t>AssPro-RM/2/2026</t>
  </si>
  <si>
    <t>Upah Aspro Bulan Ke 2 (Feb) Satu (1) Orang Kegiatan Assistant Professional Staff Manajemen Proyek untuk Menunjang Operasi dan Pemeliharaan Sistem Drainase Perkotaan 01 SPK No. 2739/PN.01.02 Tgl. 2 Jan 2026</t>
  </si>
  <si>
    <t>Upah Aspro Bulan Ke 2 (Feb) Satu (1) Orang Kegiatan Assistant Professional Staff Manajemen Proyek untuk Menunjang Operasi dan Pemeliharaan Sistem Drainase Perkotaan 02 SPK No. 2730/PN.01.02 Tgl. 2 Jan 2026</t>
  </si>
  <si>
    <t>0000050/SPM/10302201/III/2026</t>
  </si>
  <si>
    <t>AssPro-LH/2/2026</t>
  </si>
  <si>
    <t>0000050/SPP/10302201/III/2026</t>
  </si>
  <si>
    <t>Upah Aspro Bulan Ke 2 (Feb) Satu (1) Orang Kegiatan Assistant Professional Staff Sipil untuk Menunjang Operasi dan Pemeliharaan Sistem Drainase Perkotaan 01 SPK No. 2742/PN.01.02 Tgl. 2 Jan 2026</t>
  </si>
  <si>
    <t>0000051/SPM/10302201/III/2026</t>
  </si>
  <si>
    <t>AssPro-MNQ/2/2026</t>
  </si>
  <si>
    <t>AssPro-YSP/2/2026</t>
  </si>
  <si>
    <t>0000051/SPP/10302201/III/2026</t>
  </si>
  <si>
    <t>0000052/SPP/10302201/III/2026</t>
  </si>
  <si>
    <t>Upah Aspro Bulan Ke 2 (Feb) Satu (1) Orang Kegiatan Assistant Professional Staff Drafter Sipil untuk Menunjang Operasi dan Pemeliharaan Sistem Drainase Perkotaan 01 SPK No. 2751/PN.01.02 Tgl. 2 Jan 2026</t>
  </si>
  <si>
    <t>Upah Aspro Bulan Ke 2 (Feb) Satu (1) Orang Kegiatan Assistant Professional Staff Drafter Sipil untuk Menunjang Operasi dan Pemeliharaan Sistem Drainase Perkotaan 02 SPK No. 2733/PN.01.02 Tgl. 2 Jan 2026</t>
  </si>
  <si>
    <t>0000052/SPM/10302201/III/2026</t>
  </si>
  <si>
    <t>0000053/SPM/10302201/III/2026</t>
  </si>
  <si>
    <t>0000053/SPP/10302201/III/2026</t>
  </si>
  <si>
    <t>0000054/SPP/10302201/III/2026</t>
  </si>
  <si>
    <t>AssPro-RRN/2/2026</t>
  </si>
  <si>
    <t>AssPro-BA/2/2026</t>
  </si>
  <si>
    <t>Upah Aspro Bulan Ke 2 (Feb) Satu (1) Orang Kegiatan Assistant Professional Staff Manajemen Pengadaan  Barang Jasa untuk Menunjang Operasi dan Pemeliharaan Sistem Drainase Perkotaan SPK No. 2748/PN.01.02 Tgl. 2 Jan 2026</t>
  </si>
  <si>
    <t>Upah Aspro Bulan Ke 2 (Feb) Satu (1) Orang Kegiatan Assistant Professional Staff Sipil untuk Menunjang Operasi dan Pemeliharaan Sistem Drainase Perkotaan 03 SPK No. 2736/PN.01.02 Tgl. 2 Jan 2026</t>
  </si>
  <si>
    <t>0000054/SPM/10302201/III/2026</t>
  </si>
  <si>
    <t>0000055/SPM/10302201/III/2026</t>
  </si>
  <si>
    <t>0000056/SPM/10302201/III/2026</t>
  </si>
  <si>
    <t>AssPro-RMH/2/2026</t>
  </si>
  <si>
    <t>Upah Aspro Bulan Ke 2 (Feb) Satu (1) Orang Kegiatan Assistant Professional Staff Sipil untuk Menunjang Operasi dan Pemeliharaan Sistem Drainase Perkotaan 02 SPK No. 2745/PN.01.02 Tgl. 2 Jan 2026</t>
  </si>
  <si>
    <t>0000055/SPP/10302201/III/2026</t>
  </si>
  <si>
    <t>AssPro-HS/2/2026</t>
  </si>
  <si>
    <t>AssPro-MO/2/2026</t>
  </si>
  <si>
    <t>Upah Aspro Bulan Ke 2 (Feb) Satu (1) Orang Kegiatan Assistant Professional Staff Sipil untuk Menunjang Kegiatan Penyediaan Sarana Pendukung Sistem Drainase Perkotaan SPK No. 2724/PN.01.02 Tgl. 2 Jan 2026</t>
  </si>
  <si>
    <t>Upah Aspro Bulan Ke 2 (Feb) Satu (1) Orang Kegiatan Assistant Professional Staff Manajemen Proyek untuk Menunjang Kegiatan Penyediaan Sarana Pendukung Sistem Drainase Perkotaan SPK No. 2729/PN.01.02 Tgl. 2 Jan 2026</t>
  </si>
  <si>
    <t>0000057/SPM/10302201/III/2026</t>
  </si>
  <si>
    <t>0000058/SPM/10302201/III/2026</t>
  </si>
  <si>
    <t>0000056/SPP/10302201/III/2026</t>
  </si>
  <si>
    <t>0000057/SPP/10302201/III/2026</t>
  </si>
  <si>
    <t>AssPro-YFB/2/2026</t>
  </si>
  <si>
    <t>Upah Aspro Bulan Ke 2 (Feb) Satu (1) Orang Kegiatan Assistant Professional Staff Mekanikal untuk Menunjang Kegiatan Perencanaan Sarana dan Prasarana Sistem Pengendali Banjir 01 SPK No. 2757/PN.01.02 Tgl. 2 Jan 2026</t>
  </si>
  <si>
    <t>Upah Surveyor Bulan Ke 1 (Feb) Satu (1) Orang untuk Menunjang Kegiatan Penyediaan Sarana Pendukung Sistem Drainase Perkotaan SPK No. 10761/PN.01.02 Tgl. 4 Feb 2026</t>
  </si>
  <si>
    <t>AssPro-PRF/1/2026</t>
  </si>
  <si>
    <t>0000059/SPP/10302201/III/2026</t>
  </si>
  <si>
    <t>0000060/SPM/10302201/III/2026</t>
  </si>
  <si>
    <t>AssPro-RDN/1/2026</t>
  </si>
  <si>
    <t>Upah Surveyor Bulan Ke 1 (Feb) Satu (1) Orang untuk Menunjang Operasi dan Pemeliharaan Sistem Drainase Perkotaan SPK No. 10758/PN.01.02 Tgl. 4 Feb 2026</t>
  </si>
  <si>
    <t>0000061/SPP/10302201/III/2026</t>
  </si>
  <si>
    <t>0000062/SPP/10302201/III/2026</t>
  </si>
  <si>
    <t>AssPro-FIS/2/2026</t>
  </si>
  <si>
    <t>AssPro-ITW/2/2026</t>
  </si>
  <si>
    <t>Upah Aspro Bulan Ke 2 (Feb) Satu (1) Orang Kegiatan Assistant Professional Staff Mekanikal untuk Menunjang Operasi dan Pemeliharaan Stasiun Pompa Banjir SPK No. 2819/PN.01.02 Tgl. 2 Jan 2026</t>
  </si>
  <si>
    <t>Upah Aspro Bulan Ke 2 (Feb) Satu (1) Orang Kegiatan Assistant Professional Staff Manajemen Pengadaan untuk Menunjang Operasi dan Pemeliharaan Stasiun Pompa Banjir SPK No. 2811/PN.01.02 Tgl. 8 Jan 2026</t>
  </si>
  <si>
    <t>0000062/SPM/10302201/III/2026</t>
  </si>
  <si>
    <t>0000063/SPM/10302201/III/2026</t>
  </si>
  <si>
    <t>Upah Petugas Konten Digital Bulan Ke 1 (Feb) Satu (1) Orang untuk Menunjang Operasi dan Pemeliharaan Sistem Drainase Perkotaan SPK No. 10755/PN.01.02 Tgl. 4 Feb 2026</t>
  </si>
  <si>
    <t>AssPro-MY/1/2026</t>
  </si>
  <si>
    <t>0000063/SPP/10302201/III/2026</t>
  </si>
  <si>
    <t>0000066/SPP/10302201/III/2026</t>
  </si>
  <si>
    <t>0000067/SPP/10302201/III/2026</t>
  </si>
  <si>
    <t>0000068/SPP/10302201/III/2026</t>
  </si>
  <si>
    <t>0000069/SPP/10302201/III/2026</t>
  </si>
  <si>
    <t>0000070/SPP/10302201/III/2026</t>
  </si>
  <si>
    <t>APRES-01/2026</t>
  </si>
  <si>
    <t>APRES-02/2026</t>
  </si>
  <si>
    <t>APRES-03/2026</t>
  </si>
  <si>
    <t>APRES-/04/2026</t>
  </si>
  <si>
    <t>APRES-05/2026</t>
  </si>
  <si>
    <t>Pembayaran Apresiasi Ke-13 Tahun 2026 Sudin SDA JU Kegiatan Kantor Sebanyak 50 Orang</t>
  </si>
  <si>
    <t>Pembayaran Apresiasi Ke-13 Tahun 2026 Sudin SDA JU untuk Operasi dan Pemeliharaan Stasiun Pompa Banjir sebanyak 370 Orang</t>
  </si>
  <si>
    <t>0000067/SPM/10302201/III/2026</t>
  </si>
  <si>
    <t>0000068/SPM/10302201/III/2026</t>
  </si>
  <si>
    <t>0000069/SPM/10302201/III/2026</t>
  </si>
  <si>
    <t>Pembayaran Apresiasi Ke-13 Tahun 2026 Sudin SDA JU untuk Pengelolaan dan Pengembangan Sistem Penyediaan Air Minum (SPAM) sebanyak 4 Orang</t>
  </si>
  <si>
    <t>Pembayaran Apresiasi Ke-13 Tahun 2026 Sudin SDA JU untuk Operasi dan Pemeliharaan Sistem Pengelolaan Air Limbah Domestik sebanyak 49 Orang</t>
  </si>
  <si>
    <t>Pembayaran Apresiasi Ke-13 Tahun 2026 Sudin SDA JU untuk Operasi dan Pemeliharaan Sistem Drainase sebanyak 733 Orang</t>
  </si>
  <si>
    <t>0000070/SPM/10302201/III/2026</t>
  </si>
  <si>
    <t>0000071/SPM/10302201/III/2026</t>
  </si>
  <si>
    <t>0000071/SPP/10302201/III/2026</t>
  </si>
  <si>
    <t>0000072/SPM/10302201/III/2026</t>
  </si>
  <si>
    <t>0000072/SPP/10302201/III/2026</t>
  </si>
  <si>
    <t>0000073/SPM/10302201/III/2026</t>
  </si>
  <si>
    <t>0000074/SPM/10302201/III/2026</t>
  </si>
  <si>
    <t>0000073/SPP/10302201/III/2026</t>
  </si>
  <si>
    <t>APRES-PW/01/2026</t>
  </si>
  <si>
    <t>APRES-PW/02/2026</t>
  </si>
  <si>
    <t>APRES-PW/04/2026</t>
  </si>
  <si>
    <t>APRES-PW/05/2026</t>
  </si>
  <si>
    <t>Pembayaran Apresiasi Ke-13 Tahun 2026 PPPK PW Sudin SDA JU Untuk Penyediaan Jasa Pelayanan Umum Kantor Sebanyak 1 Orang</t>
  </si>
  <si>
    <t>Pembayaran Apresiasi Ke-13 Tahun 2026 PPPK PW Sudin SDA JU Untuk Operasi dan Pemel Stasiun Pompa Banjir Sebanyak 146 Orang</t>
  </si>
  <si>
    <t>Pembayaran Apresiasi Ke-13 Tahun 2026 PPPK PW Sudin SDA JU Untuk Operasi dan Pemel Sistem Pengelolaan Air Limbah Domestik Sebanyak 4 Orang</t>
  </si>
  <si>
    <t>Pembayaran Apresiasi Ke-13 Tahun 2026 PPPK PW Sudin SDA JU Sudin SDA JU Untuk Operasi dan Pemel Sistem Drainase Sebanyak 3 Orang</t>
  </si>
  <si>
    <t>0000074/SPP/10302201/III/2026</t>
  </si>
  <si>
    <t>0000075/SPP/10302201/III/2026</t>
  </si>
  <si>
    <t>0000076/SPP/10302201/III/2026</t>
  </si>
  <si>
    <t>0000075/SPM/10302201/III/2026</t>
  </si>
  <si>
    <t>0000076/SPM/10302201/III/2026</t>
  </si>
  <si>
    <t>0000077/SPM/10302201/III/2026</t>
  </si>
  <si>
    <t>0000078/SPM/10302201/III/2026</t>
  </si>
  <si>
    <t>0000079/SPM/10302201/III/2026</t>
  </si>
  <si>
    <t>Pembayaran BPJS Ketenagakerjaan PJLP Bulan Februari 2026 Sudin SDA JU Penyediaan Jasa Pelayanan Umum Kantor Sebanyak 50 Orang</t>
  </si>
  <si>
    <t>Naker-02/01/2026</t>
  </si>
  <si>
    <t>0000080/SPM/10302201/III/2026</t>
  </si>
  <si>
    <t>Pembayaran BPJS Ketenagakerjaan PJLP Bulan Februari 2026 Sudin SDA JU Penyediaan PJLP untuk Operasi dan Pemeliharaan Stasiun Pompa Banjir sebanyak 370 Orang</t>
  </si>
  <si>
    <t>Naker-02/02/2026</t>
  </si>
  <si>
    <t>0000078/SPP/10302201/III/2026</t>
  </si>
  <si>
    <t>0000077/SPP/10302201/III/2026</t>
  </si>
  <si>
    <t>0000081/SPM/10302201/III/2026</t>
  </si>
  <si>
    <t>Pembayaran BPJS Ketenagakerjaan PJLP Bulan Februari 2026 Sudin SDA JU Penyediaan PJLP untuk Pengelolaan dan Pengembangan Sistem Penyediaan Air Minum (SPAM) sebanyak 4 Orang</t>
  </si>
  <si>
    <t>Naker-02/03/2026</t>
  </si>
  <si>
    <t>0000079/SPP/10302201/III/2026</t>
  </si>
  <si>
    <t>0000082/SPM/10302201/III/2026</t>
  </si>
  <si>
    <t>Pembayaran BPJS Ketenagakerjaan PJLP Bulan Februari 2026 Sudin SDA JU Penyediaan PJLP untuk Operasi dan Pemeliharaan Sistem Pengelolaan Air Limbah Domestik sebanyak 49 Orang</t>
  </si>
  <si>
    <t>Naker-02/04/2026</t>
  </si>
  <si>
    <t>0000080/SPP/10302201/III/2026</t>
  </si>
  <si>
    <t>0000083/SPM/10302201/III/2026</t>
  </si>
  <si>
    <t>Pembayaran BPJS Ketenagakerjaan PJLP Bulan Februari 2026 Sudin SDA JU Penyediaan PJLP untuk Operasi dan Pemeliharaan Sistem Drainase sebanyak 733 Orang</t>
  </si>
  <si>
    <t>Naker-02/05/2026</t>
  </si>
  <si>
    <t>0000081/SPP/10302201/III/2026</t>
  </si>
  <si>
    <t>Pembayaran BPJS Ketenagakerjaan PPPK PW Bulan Februari 2026 Sudin SDA JU Untuk Operasi dan Pemel Stasiun Pompa Banjir Sebanyak 146 Orang</t>
  </si>
  <si>
    <t>Naker.PW-02/01/2026</t>
  </si>
  <si>
    <t>Pembayaran BPJS Ketenagakerjaan PPPK PW Bulan Februari 2026 Sudin SDA JU Untuk Penyediaan Jasa Pelayanan Umum Kantor Sebanyak 1 Orang</t>
  </si>
  <si>
    <t xml:space="preserve">1.03.02 PROGRAM PENGELOLAANSUMBER DAYA AIR (SDA) </t>
  </si>
  <si>
    <t>Naker.PW-02/02/2026</t>
  </si>
  <si>
    <t>0000086/SPM/10302201/III/2026</t>
  </si>
  <si>
    <t>Pembayaran BPJS Ketenagakerjaan PPPK PW Bulan Februari 2026 Sudin SDA JU Untuk Operasi dan Pemel Sistem Pengelolaan Air Limbah Domestik Sebanyak 4 Orang</t>
  </si>
  <si>
    <t>Naker.PW-02/04/2026</t>
  </si>
  <si>
    <t>0000084/SPP/10302201/III/2026</t>
  </si>
  <si>
    <t>0000087/SPM/10302201/III/2026</t>
  </si>
  <si>
    <t>Pembayaran BPJS Ketenagakerjaan PPPK PW Bulan Februari 2026 Sudin SDA JU Untuk Operasi dan Pemel Sistem Drainase Sebanyak 3 Orang</t>
  </si>
  <si>
    <t>Naker.PW-02/05/2026</t>
  </si>
  <si>
    <t>0000085/SPP/10302201/III/2026</t>
  </si>
  <si>
    <t>0000088/SPM/10302201/III/2026</t>
  </si>
  <si>
    <t>0000086/SPP/10302201/III/2026</t>
  </si>
  <si>
    <t>0000089/SPM/10302201/III/2026</t>
  </si>
  <si>
    <t>0000087/SPP/10302201/III/2026</t>
  </si>
  <si>
    <t>0000090/SPM/10302201/III/2026</t>
  </si>
  <si>
    <t>GJ-03/01/2026</t>
  </si>
  <si>
    <t>0000088/SPP/10302201/III/2026</t>
  </si>
  <si>
    <t>0000091/SPM/10302201/III/2026</t>
  </si>
  <si>
    <t>Pembayaran Gaji, BPJS Kesehatan 4% dan 1 % PJLP Bulan Maret 2026 Sudin SDA JU Penyediaan PJLP untuk Operasi dan Pemeliharaan Stasiun Pompa Banjir sebanyak 370 Orang</t>
  </si>
  <si>
    <t>GJ-03/02/2026</t>
  </si>
  <si>
    <t>0000089/SPP/10302201/III/2026</t>
  </si>
  <si>
    <t>0000092/SPM/10302201/III/2026</t>
  </si>
  <si>
    <t>Pembayaran Gaji, BPJS Kesehatan 4% dan 1 % PJLP Bulan Maret 2026 Sudin SDA JU Penyediaan PJLP untuk Pengelolaan dan Pengembangan Sistem Penyediaan Air Minum (SPAM) sebanyak 4 Orang</t>
  </si>
  <si>
    <t>GJ-03/03/2026</t>
  </si>
  <si>
    <t>0000090/SPP/10302201/III/2026</t>
  </si>
  <si>
    <t>0000093/SPM/10302201/III/2026</t>
  </si>
  <si>
    <t>Pembayaran Gaji, BPJS Kesehatan 4% dan 1 % PJLP Bulan Maret 2026 Sudin SDA JU Penyediaan PJLP untuk Operasi dan Pemeliharaan Sistem Pengelolaan Air Limbah Domestik sebanyak 49 Orang</t>
  </si>
  <si>
    <t>GJ-03/04/2026</t>
  </si>
  <si>
    <t>0000091/SPP/10302201/III/2026</t>
  </si>
  <si>
    <t>0000094/SPM/10302201/III/2026</t>
  </si>
  <si>
    <t>Pembayaran Gaji, BPJS Kesehatan 4% dan 1 % PJLP Bulan Maret 2026 Sudin SDA JU Penyediaan PJLP untuk Operasi dan Pemeliharaan Sistem Drainase sebanyak 733 Orang</t>
  </si>
  <si>
    <t>GJ-03/05/2026</t>
  </si>
  <si>
    <t>0000092/SPP/10302201/III/2026</t>
  </si>
  <si>
    <t>GJ.PW-03/01/2026</t>
  </si>
  <si>
    <t>GJ.PW-03/02/2026</t>
  </si>
  <si>
    <t>GJ.PW-03/04/2026</t>
  </si>
  <si>
    <t>GJ.PW-03/05/2026</t>
  </si>
  <si>
    <t>0 0000340/SPD/I/2026 Tgl. 8 Januari 2026 
0 0001275/SPD/I/2026 Tgl. 29 Januari 2026</t>
  </si>
  <si>
    <t>Pembayaran Gaji, BPJS Kesehatan 4% dan 1 % PJLP Bulan Maret 2026 Sudin SDA JU Penyediaan PJLP Kegiatan Kantor Sebanyak 50 Orang</t>
  </si>
  <si>
    <t>April</t>
  </si>
  <si>
    <t>Pembayaran Gaji, BPJS Kesehatan 4% dan 1% PPPK PW Bulan Maret 2026 Sudin SDA JU Untuk Penyediaan Jasa Pelayanan Umum Kantor Sebanyak 1 Orang</t>
  </si>
  <si>
    <t>0000099/SPM/10302201/IV/2026</t>
  </si>
  <si>
    <t>0000099/SPP/10302201/IV/2026</t>
  </si>
  <si>
    <t>0000100/SPM/10302201/IV/2026</t>
  </si>
  <si>
    <t>Pembayaran Gaji, BPJS Kesehatan 4% dan 1% PPPK PW Bulan Maret 2026 Sudin SDA JU Untuk Operasi dan Pemel Stasiun Pompa Banjir Sebanyak 146 Orang</t>
  </si>
  <si>
    <t>0000098/SPP/10302201/IV/2026</t>
  </si>
  <si>
    <t>0000097/SPP/10302201/IV/2026</t>
  </si>
  <si>
    <t>0000101/SPM/10302201/IV/2026</t>
  </si>
  <si>
    <t>Pembayaran Gaji, BPJS Kesehatan 4% dan 1% PPPK PW Bulan Maret 2026 Sudin SDA JU Untuk Operasi dan Pemel Sistem Pengelolaan Air Limbah Domestik Sebanyak 4 Orang</t>
  </si>
  <si>
    <t>0000102/SPM/10302201/IV/2026</t>
  </si>
  <si>
    <t>Pembayaran Gaji, BPJS Kesehatan 4% dan 1% PPPK PW Bulan Maret 2026 Sudin SDA JU Untuk Operasi dan Pemel Sistem Drainase Sebanyak 3 Orang</t>
  </si>
  <si>
    <t>0000100/SPP/10302201/IV/2026</t>
  </si>
  <si>
    <t>0000105/SPM/10302201/IV/2026</t>
  </si>
  <si>
    <t>Pembayaran BPJS Ketenagakerjaan Bulan Jan 2026 PPPK PW Sudin SDA JU untuk Penyediaan Jasa Pelayanan Umum Kantor Sebanyak 1 Orang</t>
  </si>
  <si>
    <t>NakerP3KPW-01/01/2026</t>
  </si>
  <si>
    <t>0000104/SPM/10302201/IV/2026</t>
  </si>
  <si>
    <t>Pembayaran BPJS Ketenagakerjaan Bulan Jan 2026 PPPK PW Sudin SDA JU untuk Operasi dan Pemel Stasiun Pompa Banjir Sebanyak 146 Orang</t>
  </si>
  <si>
    <t>NakerP3KPW-01/02/2026</t>
  </si>
  <si>
    <t>0000106/SPM/10302201/IV/2026</t>
  </si>
  <si>
    <t>Pembayaran BPJS Ketenagakerjaan Bulan Jan 2026 PPPK PW Bulan Jan 2026 Sudin SDA JU untuk Operasi dan Pemeliharaan Sistem Pengelolaan Air Limbah Domestik sebanyak 4 Orang</t>
  </si>
  <si>
    <t>NakerP3KPW-01/04/2025</t>
  </si>
  <si>
    <t>0000107/SPM/10302201/IV/2026</t>
  </si>
  <si>
    <t>Pembayaran BPJS Ketenagakerjaan Bulan Jan 2026 PPPK PW Bulan Jan 2026 Sudin SDA JU untuk Operasi dan Pemeliharaan Sistem Drainase sebanyak 3 orang</t>
  </si>
  <si>
    <t>NakerP3PW-01/05/2025</t>
  </si>
  <si>
    <t xml:space="preserve">1.03.02 </t>
  </si>
  <si>
    <t>1.03.02.1.01</t>
  </si>
  <si>
    <t>1.03.02.1.01.0122.001 Perencanaan Sarana dan Prasarana Sistem Pengendali Banjir</t>
  </si>
  <si>
    <t>0000108/SPM/10302201/IV/2026</t>
  </si>
  <si>
    <t>Upah assistant professional bulan ke-3 (Maret) satu (1) orang staff mekanikal untuk menunjang kegiatan penyediaan sarana dan prasarana sistem pengendali banjir 02 SPK No.2760/PN.01.02 tgl.02 Jan 2026</t>
  </si>
  <si>
    <t>2760/PN.01.02-AGUNG(03)</t>
  </si>
  <si>
    <t>APRIYANI TALAOHU</t>
  </si>
  <si>
    <t>179604052008042001</t>
  </si>
  <si>
    <t>1.03.06.1.01.0010.001 Operasi dan Pemeliharaan Sistem Drainase</t>
  </si>
  <si>
    <t>0000109/SPM/10302201/IV/2026</t>
  </si>
  <si>
    <t>Upah assistant professional bulan ke-3 (Maret) satu (1) orang keg.aspro staff man.proyek untuk menunjang operasi dan pemel. Sistem drainase perkotaan 01 SPK No.2730/PN.01.02 tgl.02 Jan 2026</t>
  </si>
  <si>
    <t>2739/PN.01.02-RAFY(03)</t>
  </si>
  <si>
    <t>0000110/SPM/10302201/IV/2026</t>
  </si>
  <si>
    <t>Upah assistant professional bulan ke-3 (Maret) satu (1) orang keg.aspro staff man.proyek untuk menunjang operasi dan pemel. Sistem drainase perkotaan 02 SPK No.2730/PN.01.02 tgl.02 Jan 2026</t>
  </si>
  <si>
    <t>2730/PN.01.02-RAYHAN(03)</t>
  </si>
  <si>
    <t>0000111/SPM/10302201/IV/2026</t>
  </si>
  <si>
    <t>Upah assistant professional bulan ke-3 (Maret) satu (1) orang keg.aspro staff sipil untuk menunjang operasi dan pemel. Sistem drainase perkotaan 01 SPK No.2742/PN.01.02 tgl.02 Jan 2026</t>
  </si>
  <si>
    <t>2742/PN.01.02-LUKMAN(03)</t>
  </si>
  <si>
    <t>0000112/SPM/10302201/IV/2026</t>
  </si>
  <si>
    <t>Upah assistant professional bulan ke-3 (Maret) satu (1) orang keg.aspro staff drafter sipil untuk menunjang operasi dan pemel. Sistem drainase perkotaan 01 SPK No.2751/PN.01.02 tgl.02 Jan 2026</t>
  </si>
  <si>
    <t>2751/PN.01.02-MUTIARA(03)</t>
  </si>
  <si>
    <t>0000113/SPM/10302201/IV/2026</t>
  </si>
  <si>
    <t>Upah assistant professional bulan ke-3 (Maret) satu (1) orang keg.aspro staff man.pengadaan barjas ntuk menunjang operasi dan pemel. Sistem drainase perkotaan SPK No.2748/PN.01.02 tgl.02 Jan 2026</t>
  </si>
  <si>
    <t>2748/PN.01.02-RIRIN(03)</t>
  </si>
  <si>
    <t>0000114/SPM/10302201/IV/2026</t>
  </si>
  <si>
    <t>Upah assistant professional bulan ke-3 (Maret) satu (1) orang keg.aspro staff drafter sipil untuk menunjang operasi dan pemel. Sistem drainase perkotaan 02 SPK No.2733/PN.01.02 tgl.02 Jan 2026</t>
  </si>
  <si>
    <t>2733/PN.01.02-YOGA(03)</t>
  </si>
  <si>
    <t>0000115/SPM/10302201/IV/2026</t>
  </si>
  <si>
    <t>Upah assistant professional bulan ke-3 (Maret) satu (1) orang keg.aspro staff sipil untuk menunjang operasi dan pemel. Sistem drainase perkotaan 03 SPK No.2736/PN.01.02 tgl.02 Jan 2026</t>
  </si>
  <si>
    <t>2736/PN.01.02-BARQI(03)</t>
  </si>
  <si>
    <t>0000116/SPM/10302201/IV/2026</t>
  </si>
  <si>
    <t>Upah assistant professional bulan ke-3 (Maret) satu (1) orang keg.aspro staff sipil untuk menunjang operasi dan pemel. Sistem drainase perkotaan 02 SPK No.2745/PN.01.02 tgl.02 Jan 2026</t>
  </si>
  <si>
    <t>2745/PN.01.02-ROBERTO(03)</t>
  </si>
  <si>
    <t>0000117/SPM/10302201/IV/2026</t>
  </si>
  <si>
    <t>Upah surveyor bulan ke-2(Maret) satu (1) orang untuk menunjang operasi dan pemel sistem drainase perkotaan SPK No.10761/PN.01.02 tgl.04 Feb 2026</t>
  </si>
  <si>
    <t>10761/PN.01.02-PARID(02)</t>
  </si>
  <si>
    <t>1.03.02.1.01.0055.001 Operasi dan Pemeliharaan Stasiun Pompa Banjir</t>
  </si>
  <si>
    <t>0000118/SPM/10302201/IV/2026</t>
  </si>
  <si>
    <t>Upah assistant professional bulan ke-3 (Maret) satu (1) orang keg.aspro staff mekanikal untuk menunjang opr dan pemel stasiun pompa banjir SPK No.2819/PN.01.02 tgl.02 Jan 2026</t>
  </si>
  <si>
    <t>2819/PN.01.02-FADLAN(03)</t>
  </si>
  <si>
    <t>0000119/SPM/10302201/IV/2026</t>
  </si>
  <si>
    <t>Upah assistant professional bulan ke-3 (Maret) satu (1) orang keg.aspro staff staff man. Pengadaan untuk menunjang opr dan pemel stasiun pompa banjir SPK No.2811/PN.01.02 tgl.08 Jan 2026</t>
  </si>
  <si>
    <t>2811/PN.01.02-INDIRA(03)</t>
  </si>
  <si>
    <t>1.03.06.1.01.000.001 Pembangunan Saluran, Saluran PHB dan Kelengkapannya</t>
  </si>
  <si>
    <t>0000120/SPM/10302201/IV/2026</t>
  </si>
  <si>
    <t>Upah assistant professional bulan ke-3 (Maret) satu (1) orang staff sipil ntuk menunjang kegiatan penyediaan sarana pendukung sistem drainase perkotaan SPK No.2724/PN.01.02 tgl.02 Jan 2026</t>
  </si>
  <si>
    <t>2724/PN.01.02-HALIMA(03)</t>
  </si>
  <si>
    <t>0000121/SPM/10302201/IV/2026</t>
  </si>
  <si>
    <t>Upah assistant professional bulan ke-3 (Maret) satu (1) orang staff management proyek untuk menunjang kegiatan penyediaan sarana pendukung sistem drainase perkotaan SPK No.2729/PN.01.02 tgl.02 Jan 2026</t>
  </si>
  <si>
    <t>2729/PN.01.02-OTNIEL(03)</t>
  </si>
  <si>
    <t>Upah petugas konten digital bulan ke-2(Maret) satu (1) orang untuk menunjang operasi dan pemel sistem drainase perkotaan SPK No.10755/PN.01.02 tgl.04 Feb 2026</t>
  </si>
  <si>
    <t>10755/PN.01.02-YUSUF(02)</t>
  </si>
  <si>
    <t>Upah assistant professional bulan ke-3 (Maret) satu (1) orang staff sipil untuk menunjang kegiatan penyediaan sarana dan prasarana sistem pengendali banjir SPK No.2754/PN.01.02 tgl.02 Jan 2026</t>
  </si>
  <si>
    <t>2754/PN.01.02-ANDRIAN(03)</t>
  </si>
  <si>
    <t>0000122/SPM/10302201/IV/2026</t>
  </si>
  <si>
    <t>0000123/SPM/10302201/IV/2026</t>
  </si>
  <si>
    <t>0000120/SPP/10302201/IV/2026</t>
  </si>
  <si>
    <t>0000101/SPP/10302201/IV/2026</t>
  </si>
  <si>
    <t>0000102/SPP/10302201/IV/2026</t>
  </si>
  <si>
    <t>0000103/SPP/10302201/IV/2026</t>
  </si>
  <si>
    <t>0000104/SPP/10302201/IV/2026</t>
  </si>
  <si>
    <t>Tanggal</t>
  </si>
  <si>
    <t>D</t>
  </si>
  <si>
    <t>K</t>
  </si>
  <si>
    <t>Saldo</t>
  </si>
  <si>
    <t>Keterangan</t>
  </si>
  <si>
    <t>Anggiat Sitanggang</t>
  </si>
  <si>
    <t>Saldo awal</t>
  </si>
  <si>
    <t>Tiket woosh PP 3 orang @ Rp.350.000/orang</t>
  </si>
  <si>
    <t xml:space="preserve">Tiket woosh 1 orang (Aditya) </t>
  </si>
  <si>
    <t>2 stempel, 1 e-money</t>
  </si>
  <si>
    <t>Top up</t>
  </si>
  <si>
    <t>Hotel Aryaduta 3D1N @Rp.2.500.000/night</t>
  </si>
  <si>
    <t>Pempek</t>
  </si>
  <si>
    <t>M Rizky Firdaus</t>
  </si>
  <si>
    <t>Pagi sore, 30 pax</t>
  </si>
  <si>
    <t>Rizky Firdaus</t>
  </si>
  <si>
    <t>Pempek taruna (3 kapal selam, 2 lenjer, 1 adaan) Rp.98.000 + parkir Rp.2.000</t>
  </si>
  <si>
    <t>Papan bunga
Wedding Arora &amp; Krisna</t>
  </si>
  <si>
    <t>Stempel ttd 2pcs @Rp.175.000/pc, 
1 e-money id card @Rp.160.000</t>
  </si>
  <si>
    <t>makan overtime TU (bubur ayam + jus)</t>
  </si>
  <si>
    <t>richeese 25 pax + tip 30rb, bulk order</t>
  </si>
  <si>
    <t>Papan bunga wedding Arora &amp;Krisna</t>
  </si>
  <si>
    <t>Pismanis 80pcs + 15pcs + 10pcs</t>
  </si>
  <si>
    <t>LSM</t>
  </si>
  <si>
    <t>Withdrawal - cash out</t>
  </si>
  <si>
    <t>Reimburse kasubag ; kopi jago, banner, pin</t>
  </si>
  <si>
    <t>Reimburse kasubag, DWP JU</t>
  </si>
  <si>
    <t>Transfer Kasubag</t>
  </si>
  <si>
    <t>Saldo per 31 Des 2025</t>
  </si>
  <si>
    <t>Makan malam rapat 
(pecel lele Rp.30.000 x 14 orang)</t>
  </si>
  <si>
    <t>Kopi kanto gula aren 
(Rp.23.000 x 10 orang)</t>
  </si>
  <si>
    <t>Prive - cash out</t>
  </si>
  <si>
    <t>Idham Mugabe - cash out</t>
  </si>
  <si>
    <t>Saldo (top up tgl. 29 Jan)</t>
  </si>
  <si>
    <t>Hokben 90 pax</t>
  </si>
  <si>
    <t>Biaya transfer antar bank (NOBU)</t>
  </si>
  <si>
    <t>Bakmi GM Bank DKI 20 pax</t>
  </si>
  <si>
    <t>Saepudin</t>
  </si>
  <si>
    <t>Saldo (top up tgl. 30 Jan)</t>
  </si>
  <si>
    <t>Biaya penarikan tunai di ATM Prima</t>
  </si>
  <si>
    <t>Walikota</t>
  </si>
  <si>
    <t>Dana buka puasa bersama dan santunan anak yatim (Rinayanti)</t>
  </si>
  <si>
    <t>Biaya transfer antar bank (BCA)</t>
  </si>
  <si>
    <t>Bale Utara Tumpengan bareng anak yatim - Hari Pers Nasional 2026 - Tf kasubag</t>
  </si>
  <si>
    <t xml:space="preserve">Pendi </t>
  </si>
  <si>
    <t>Panji</t>
  </si>
  <si>
    <t>Biaya transfer antar bank (DKI)</t>
  </si>
  <si>
    <t>Muhlis</t>
  </si>
  <si>
    <t>Rohena santunan yatim piatu dan dhuafa</t>
  </si>
  <si>
    <t>Henny Pusparini BCA</t>
  </si>
  <si>
    <t>Mula Sudiro Pakpahan</t>
  </si>
  <si>
    <t>Muslihat (cash)</t>
  </si>
  <si>
    <t>Saldo (Top UP)</t>
  </si>
  <si>
    <t>Bunga papan kedukaan</t>
  </si>
  <si>
    <t>Biaya transfer antar bank (BCA- Soegianto Halim)</t>
  </si>
  <si>
    <t>NOREK</t>
  </si>
  <si>
    <t>JUMLAH DITERIMA</t>
  </si>
  <si>
    <t>51623581709</t>
  </si>
  <si>
    <t>20128144661</t>
  </si>
  <si>
    <t>12428025796</t>
  </si>
  <si>
    <t>20128159218</t>
  </si>
  <si>
    <t>53323046790</t>
  </si>
  <si>
    <t>20128202253</t>
  </si>
  <si>
    <t>71524049282</t>
  </si>
  <si>
    <t>20128159099</t>
  </si>
  <si>
    <t>20128159081</t>
  </si>
  <si>
    <t>62123025281</t>
  </si>
  <si>
    <t>20128206623</t>
  </si>
  <si>
    <t>20128159056</t>
  </si>
  <si>
    <t>20128159072</t>
  </si>
  <si>
    <t>43628055051</t>
  </si>
  <si>
    <t>20128206364</t>
  </si>
  <si>
    <t>20128159064</t>
  </si>
  <si>
    <t>Gaji Aspro 0326</t>
  </si>
  <si>
    <t>KETERANGAN</t>
  </si>
  <si>
    <t>NO</t>
  </si>
  <si>
    <t>ASPRO</t>
  </si>
  <si>
    <t>BPJSNaker-03/01/2026</t>
  </si>
  <si>
    <t>BPJSNaker-03/02/2026</t>
  </si>
  <si>
    <t>BPJSNaker-03/03/2026</t>
  </si>
  <si>
    <t>BPJSNaker-03/04/2026</t>
  </si>
  <si>
    <t>BPJSNaker-03/05/2026</t>
  </si>
  <si>
    <t>Pembayaran BPJS Ketenagakerjaan PJLP Bulan Maret 2026 Sudin SDA JU Penyediaan Jasa Pelayanan Umum Kantor Sebanyak 50 Orang</t>
  </si>
  <si>
    <t>Pembayaran BPJS Ketenagakerjaan PJLP Bulan Maret 2026 Sudin SDA JU Penyediaan PJLP untuk Operasi dan Pemeliharaan Stasiun Pompa Banjir sebanyak 370 Orang</t>
  </si>
  <si>
    <t>Pembayaran BPJS Ketenagakerjaan PJLP Bulan Maret 2026 Sudin SDA JU Penyediaan PJLP untuk Pengelolaan dan Pengembangan Sistem Penyediaan Air Minum (SPAM) sebanyak 4 Orang</t>
  </si>
  <si>
    <t>Pembayaran BPJS Ketenagakerjaan PJLP Bulan Maret 2026 Sudin SDA JU Penyediaan PJLP untuk Operasi dan Pemeliharaan Sistem Pengelolaan Air Limbah Domestik sebanyak 49 Orang</t>
  </si>
  <si>
    <t>Pembayaran BPJS Ketenagakerjaan PJLP Bulan Maret 2026 Sudin SDA JU Penyediaan PJLP untuk Operasi dan Pemeliharaan Sistem Drainase sebanyak 733 Orang</t>
  </si>
  <si>
    <t>0000121/SPP/10302201/IV/2026</t>
  </si>
  <si>
    <t>0000122/SPP/10302201/IV/2026</t>
  </si>
  <si>
    <t>0000123/SPP/10302201/IV/2026</t>
  </si>
  <si>
    <t>0000124/SPP/10302201/IV/2026</t>
  </si>
  <si>
    <t>0000125/SPP/10302201/IV/2026</t>
  </si>
  <si>
    <t>0000124/SPM/10302201/IV/2026</t>
  </si>
  <si>
    <t>0000125/SPM/10302201/IV/2026</t>
  </si>
  <si>
    <t>0000126/SPM/10302201/IV/2026</t>
  </si>
  <si>
    <t>0000127/SPM/10302201/IV/2026</t>
  </si>
  <si>
    <t>0000128/SPM/10302201/IV/2026</t>
  </si>
  <si>
    <t>0000129/SPM/10302201/IV/2026</t>
  </si>
  <si>
    <t>0000130/SPM/10302201/IV/2026</t>
  </si>
  <si>
    <t>0000131/SPM/10302201/IV/2026</t>
  </si>
  <si>
    <t>0000132/SPM/10302201/IV/2026</t>
  </si>
  <si>
    <t>NakerP3KPW-03/01/2026</t>
  </si>
  <si>
    <t>NakerP3KPW-03/02/2026</t>
  </si>
  <si>
    <t>Pembayaran BPJS Ketenagakerjaan Bulan Maret 2026 PPPK PW Sudin SDA JU untuk Penyediaan Jasa Pelayanan Umum Kantor Sebanyak 1 Orang</t>
  </si>
  <si>
    <t>Pembayaran BPJS Ketenagakerjaan Bulan Maret 2026 PPPK PW Sudin SDA JU untuk Operasi dan Pemel Stasiun Pompa Banjir Sebanyak 146 Orang</t>
  </si>
  <si>
    <t>Pembayaran BPJS Ketenagakerjaan Bulan Maret 2026 PPPK PW 2026 Sudin SDA JU untuk Operasi dan Pemeliharaan Sistem Pengelolaan Air Limbah Domestik sebanyak 4 Orang</t>
  </si>
  <si>
    <t>0000126/SPP/10302201/IV/2026</t>
  </si>
  <si>
    <t>0000127/SPP/10302201/IV/2026</t>
  </si>
  <si>
    <t>0000128/SPP/10302201/IV/2026</t>
  </si>
  <si>
    <t>0000129/SPP/10302201/IV/2026</t>
  </si>
  <si>
    <t>NakerP3KPW-03/04/2026</t>
  </si>
  <si>
    <t>NakerP3PW-03/05/2026</t>
  </si>
  <si>
    <t>Babydoes carseat (kado lahiran Raihana)</t>
  </si>
  <si>
    <t>Biaya admin shopee</t>
  </si>
  <si>
    <t>OONEW food processor (kado lahiran Syifa)</t>
  </si>
  <si>
    <t>5.1.02.03.04.00024</t>
  </si>
  <si>
    <t>PT. ABHINAYA KANAKA</t>
  </si>
  <si>
    <t>EP-01KJY4BJA4QT0K2Q69YBEJN730</t>
  </si>
  <si>
    <t>0000133/SPM/10302201/IV/2026</t>
  </si>
  <si>
    <t>Pengadaan bahan material semen bulan Februari untuk menunjang kegiatan operasi dan pemel sistem drainase sesuai SPK EP-01KJY4BJA4QT0K2Q69YBEJN730 tgl.06 Maret 2026</t>
  </si>
  <si>
    <t>0000130/SPP/10302201/IV/2026</t>
  </si>
  <si>
    <t>100</t>
  </si>
  <si>
    <t>MOKJIN HENDRIKUS SINAGA</t>
  </si>
  <si>
    <t>Oktober</t>
  </si>
  <si>
    <t>2910210007899</t>
  </si>
  <si>
    <t>0438551947045000</t>
  </si>
  <si>
    <t>BANK DKI</t>
  </si>
  <si>
    <t>12308007425</t>
  </si>
  <si>
    <t>06 Maret s.d. 05 Mei 2026</t>
  </si>
  <si>
    <t>18076/PN.01.02</t>
  </si>
  <si>
    <t>Bouquet bunga (pelantikan Bu Purwanti)</t>
  </si>
  <si>
    <t>Biaya admin BCA</t>
  </si>
  <si>
    <t>Bouquet bunga (pelantikan Pak Dudi Gardesi)</t>
  </si>
  <si>
    <t>3/GU-03/2026</t>
  </si>
  <si>
    <t>Pengisian Ganti Uang Persediaan Kas Bendahara Pengeluaran Pembantu SKPD Bulan April 2026</t>
  </si>
  <si>
    <t>PT. INDIT TARA REKY</t>
  </si>
  <si>
    <t>2802/PN.01.02</t>
  </si>
  <si>
    <t>Januari</t>
  </si>
  <si>
    <t>REMY HASYIM, ST</t>
  </si>
  <si>
    <t>1000000005095512</t>
  </si>
  <si>
    <t>BANK MANDIRI</t>
  </si>
  <si>
    <t>1640010109009</t>
  </si>
  <si>
    <t>26 Januari s.d. 24 Februari 2026</t>
  </si>
  <si>
    <t>Perencanaan saring sampah otomatis pompa sukapura timur, pompa viaduct, dan pompa ancol carnaval sesuai SPK no.2802/PN.01.02 tgl.26 Januari 2026</t>
  </si>
  <si>
    <t>14084/PN.01.02</t>
  </si>
  <si>
    <t>1.03.01.1.09 Pemeliharaan Barang Milik Daerah Penunjang Urusan Pemerintah Daerah</t>
  </si>
  <si>
    <t>1.03.01.1.09.0003 Penyediaan Jasa Pemeliharaan, Biaya Pemeliharaan dan Perizinan Alat Besar</t>
  </si>
  <si>
    <t>UKAT SUKIAT</t>
  </si>
  <si>
    <t>0414951921416000</t>
  </si>
  <si>
    <t>Juli</t>
  </si>
  <si>
    <t>1219000201586</t>
  </si>
  <si>
    <t>BANK BCA</t>
  </si>
  <si>
    <t>7010877118</t>
  </si>
  <si>
    <t>Kp. Parung Kored RT.003 RW.001, Parung Jaya, Karang Tengah</t>
  </si>
  <si>
    <t>5.1.02.03.002.00003</t>
  </si>
  <si>
    <t>17138/PN.01.02</t>
  </si>
  <si>
    <t>25 Maret s.d. 07 April 2026</t>
  </si>
  <si>
    <t>18196/PN.01.02</t>
  </si>
  <si>
    <t>Pemeliharaan dan perbaikan engine excavator PC 130 No.05 sesuai SPK no.17138/PN.01.02 tgl.25 Maret 2026</t>
  </si>
  <si>
    <t>JL I GUSTI NGURAH RAI NO.18</t>
  </si>
  <si>
    <t>0000134/SPM/10302201/IV/2026</t>
  </si>
  <si>
    <t>0000131/SPP/10302201/IV/2026</t>
  </si>
  <si>
    <t>PT. MARBORAS INDAH CEMERLANG</t>
  </si>
  <si>
    <t>16512/PN.01.02</t>
  </si>
  <si>
    <t>EDISON FORMAN SIHITE</t>
  </si>
  <si>
    <t>September</t>
  </si>
  <si>
    <t>9120005342418</t>
  </si>
  <si>
    <t>12708001489</t>
  </si>
  <si>
    <t>11 Maret s.d. 09 Mei 2026</t>
  </si>
  <si>
    <t>0000135/SPM/10302201/IV/2026</t>
  </si>
  <si>
    <t>18078/PN.01.02</t>
  </si>
  <si>
    <t>Pengadaan bahan material kayu dolken bulan Februari untuk menunjang kegiatan operasi dan pemel sistem drainase sesuai SPK no.16512/PN.01.02 tgl.11 Maret 2026</t>
  </si>
  <si>
    <t>PERKANTORAN TOMANG TOL A1 NO.14 LT 2</t>
  </si>
  <si>
    <t>0000132/SPP/10302201/IV/2026</t>
  </si>
  <si>
    <t>Agustus</t>
  </si>
  <si>
    <t>1908250096891</t>
  </si>
  <si>
    <t xml:space="preserve">Agustus </t>
  </si>
  <si>
    <t>2025</t>
  </si>
  <si>
    <t>Jl. Ciledug Raya No. 5</t>
  </si>
  <si>
    <t>0000136/SPM/10302201/IV/2026</t>
  </si>
  <si>
    <t>0000133/SPP/10302201/IV/2026</t>
  </si>
  <si>
    <t>018816165039000</t>
  </si>
  <si>
    <t>El Muslihat</t>
  </si>
  <si>
    <t xml:space="preserve">Saldo Akhir </t>
  </si>
  <si>
    <t>18328/PN.01.02</t>
  </si>
  <si>
    <t>Pengadaan bahan material kayu kaso bulan Februari untuk menunjang kegiatan operasi dan pemel sistem drainase sesuai SPK EP-01KJYJZTBD7Q2CKTAYDA84TC1K tgl.06 Maret 2026</t>
  </si>
  <si>
    <t>0000137/SPM/10302201/IV/2026</t>
  </si>
  <si>
    <t>0000134/SPP/10302201/IV/2026</t>
  </si>
  <si>
    <t>12308007409</t>
  </si>
  <si>
    <t>2810210011538</t>
  </si>
  <si>
    <t>0438552010045000</t>
  </si>
  <si>
    <t>ALAMSYAH P SINURAT</t>
  </si>
  <si>
    <t>PT. CIPTA RUPA HARMONI</t>
  </si>
  <si>
    <t>EP-01KJYJZTBD7Q2CKTAYDA84TC1K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</si>
</sst>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(* #,##0_);_(* \(#,##0\);_(* &quot;-&quot;??_);_(@_)"/>
    <numFmt numFmtId="168" formatCode="[$-409]dd/mmm/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8">
    <xf numFmtId="0" fontId="0" fillId="0" borderId="0" xfId="0"/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64" fontId="2" fillId="0" borderId="1" xfId="2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166" fontId="2" fillId="0" borderId="1" xfId="1" applyNumberFormat="1" applyFont="1" applyFill="1" applyBorder="1" applyAlignment="1">
      <alignment horizontal="center" vertical="center" wrapText="1"/>
    </xf>
    <xf numFmtId="165" fontId="2" fillId="0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165" fontId="2" fillId="0" borderId="1" xfId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/>
    </xf>
    <xf numFmtId="49" fontId="5" fillId="0" borderId="2" xfId="0" applyNumberFormat="1" applyFont="1" applyFill="1" applyBorder="1" applyAlignment="1">
      <alignment horizontal="center" vertical="center"/>
    </xf>
    <xf numFmtId="164" fontId="5" fillId="0" borderId="2" xfId="2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164" fontId="4" fillId="0" borderId="2" xfId="2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164" fontId="4" fillId="0" borderId="1" xfId="2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166" fontId="4" fillId="0" borderId="2" xfId="1" applyNumberFormat="1" applyFont="1" applyFill="1" applyBorder="1" applyAlignment="1">
      <alignment horizontal="left" vertical="center" wrapText="1"/>
    </xf>
    <xf numFmtId="166" fontId="4" fillId="0" borderId="1" xfId="1" applyNumberFormat="1" applyFont="1" applyFill="1" applyBorder="1" applyAlignment="1">
      <alignment vertical="center"/>
    </xf>
    <xf numFmtId="165" fontId="4" fillId="0" borderId="1" xfId="1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 wrapText="1"/>
    </xf>
    <xf numFmtId="166" fontId="4" fillId="0" borderId="2" xfId="1" applyNumberFormat="1" applyFont="1" applyFill="1" applyBorder="1" applyAlignment="1">
      <alignment vertical="center"/>
    </xf>
    <xf numFmtId="165" fontId="4" fillId="0" borderId="2" xfId="1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 wrapText="1"/>
    </xf>
    <xf numFmtId="1" fontId="5" fillId="0" borderId="2" xfId="0" quotePrefix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164" fontId="5" fillId="2" borderId="2" xfId="2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quotePrefix="1"/>
    <xf numFmtId="164" fontId="7" fillId="0" borderId="0" xfId="0" applyNumberFormat="1" applyFont="1"/>
    <xf numFmtId="164" fontId="0" fillId="0" borderId="0" xfId="0" applyNumberFormat="1"/>
    <xf numFmtId="0" fontId="8" fillId="0" borderId="0" xfId="0" applyFont="1"/>
    <xf numFmtId="0" fontId="8" fillId="0" borderId="0" xfId="0" quotePrefix="1" applyFont="1"/>
    <xf numFmtId="0" fontId="8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164" fontId="8" fillId="0" borderId="2" xfId="2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164" fontId="4" fillId="2" borderId="2" xfId="2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164" fontId="10" fillId="0" borderId="0" xfId="0" applyNumberFormat="1" applyFont="1"/>
    <xf numFmtId="164" fontId="11" fillId="0" borderId="0" xfId="0" applyNumberFormat="1" applyFont="1"/>
    <xf numFmtId="166" fontId="5" fillId="0" borderId="2" xfId="1" applyNumberFormat="1" applyFont="1" applyFill="1" applyBorder="1" applyAlignment="1">
      <alignment vertical="center"/>
    </xf>
    <xf numFmtId="165" fontId="5" fillId="0" borderId="2" xfId="1" applyFont="1" applyFill="1" applyBorder="1" applyAlignment="1">
      <alignment vertical="center"/>
    </xf>
    <xf numFmtId="165" fontId="5" fillId="0" borderId="2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66" fontId="4" fillId="2" borderId="2" xfId="1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164" fontId="4" fillId="2" borderId="1" xfId="2" applyFont="1" applyFill="1" applyBorder="1" applyAlignment="1">
      <alignment vertical="center"/>
    </xf>
    <xf numFmtId="166" fontId="4" fillId="2" borderId="1" xfId="1" applyNumberFormat="1" applyFont="1" applyFill="1" applyBorder="1" applyAlignment="1">
      <alignment vertical="center"/>
    </xf>
    <xf numFmtId="165" fontId="4" fillId="2" borderId="1" xfId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166" fontId="4" fillId="2" borderId="2" xfId="1" applyNumberFormat="1" applyFont="1" applyFill="1" applyBorder="1" applyAlignment="1">
      <alignment vertical="center"/>
    </xf>
    <xf numFmtId="165" fontId="4" fillId="2" borderId="2" xfId="1" applyFont="1" applyFill="1" applyBorder="1" applyAlignment="1">
      <alignment vertical="center"/>
    </xf>
    <xf numFmtId="0" fontId="2" fillId="0" borderId="4" xfId="0" quotePrefix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/>
    </xf>
    <xf numFmtId="49" fontId="4" fillId="0" borderId="3" xfId="0" applyNumberFormat="1" applyFont="1" applyFill="1" applyBorder="1" applyAlignment="1">
      <alignment horizontal="center" vertical="center"/>
    </xf>
    <xf numFmtId="167" fontId="4" fillId="0" borderId="3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2" fontId="4" fillId="0" borderId="3" xfId="0" applyNumberFormat="1" applyFont="1" applyFill="1" applyBorder="1" applyAlignment="1">
      <alignment horizontal="center" vertical="center"/>
    </xf>
    <xf numFmtId="0" fontId="4" fillId="0" borderId="3" xfId="1" applyNumberFormat="1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64" fontId="4" fillId="0" borderId="5" xfId="2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66" fontId="4" fillId="0" borderId="2" xfId="1" applyNumberFormat="1" applyFont="1" applyFill="1" applyBorder="1" applyAlignment="1">
      <alignment horizontal="center" vertical="center" wrapText="1"/>
    </xf>
    <xf numFmtId="166" fontId="4" fillId="0" borderId="2" xfId="1" quotePrefix="1" applyNumberFormat="1" applyFont="1" applyFill="1" applyBorder="1" applyAlignment="1">
      <alignment horizontal="center" vertical="center"/>
    </xf>
    <xf numFmtId="166" fontId="4" fillId="0" borderId="3" xfId="1" applyNumberFormat="1" applyFont="1" applyFill="1" applyBorder="1" applyAlignment="1">
      <alignment horizontal="center" vertical="center"/>
    </xf>
    <xf numFmtId="165" fontId="4" fillId="0" borderId="3" xfId="1" applyFont="1" applyFill="1" applyBorder="1" applyAlignment="1">
      <alignment horizontal="center" vertical="center"/>
    </xf>
    <xf numFmtId="1" fontId="4" fillId="0" borderId="3" xfId="1" applyNumberFormat="1" applyFont="1" applyFill="1" applyBorder="1" applyAlignment="1">
      <alignment horizontal="center" vertical="center"/>
    </xf>
    <xf numFmtId="167" fontId="4" fillId="0" borderId="3" xfId="1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167" fontId="4" fillId="0" borderId="1" xfId="1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0" borderId="1" xfId="1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quotePrefix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/>
    </xf>
    <xf numFmtId="165" fontId="4" fillId="0" borderId="1" xfId="1" applyFont="1" applyFill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167" fontId="4" fillId="0" borderId="1" xfId="1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/>
    </xf>
    <xf numFmtId="167" fontId="4" fillId="0" borderId="2" xfId="1" applyNumberFormat="1" applyFont="1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/>
    </xf>
    <xf numFmtId="0" fontId="4" fillId="0" borderId="2" xfId="1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166" fontId="4" fillId="0" borderId="2" xfId="1" applyNumberFormat="1" applyFont="1" applyFill="1" applyBorder="1" applyAlignment="1">
      <alignment horizontal="center" vertical="center"/>
    </xf>
    <xf numFmtId="165" fontId="4" fillId="0" borderId="2" xfId="1" applyFont="1" applyFill="1" applyBorder="1" applyAlignment="1">
      <alignment horizontal="center" vertical="center"/>
    </xf>
    <xf numFmtId="1" fontId="4" fillId="0" borderId="2" xfId="1" applyNumberFormat="1" applyFont="1" applyFill="1" applyBorder="1" applyAlignment="1">
      <alignment horizontal="center" vertical="center"/>
    </xf>
    <xf numFmtId="167" fontId="4" fillId="0" borderId="2" xfId="1" applyNumberFormat="1" applyFont="1" applyFill="1" applyBorder="1" applyAlignment="1">
      <alignment horizontal="center" vertical="center" wrapText="1"/>
    </xf>
    <xf numFmtId="0" fontId="4" fillId="0" borderId="3" xfId="0" quotePrefix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67" fontId="12" fillId="0" borderId="0" xfId="3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6" fontId="0" fillId="0" borderId="0" xfId="0" applyNumberFormat="1" applyBorder="1" applyAlignment="1">
      <alignment horizontal="center" vertical="center"/>
    </xf>
    <xf numFmtId="167" fontId="0" fillId="0" borderId="0" xfId="3" applyNumberFormat="1" applyFont="1" applyBorder="1" applyAlignment="1">
      <alignment horizontal="center" vertical="center"/>
    </xf>
    <xf numFmtId="167" fontId="0" fillId="3" borderId="0" xfId="3" applyNumberFormat="1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167" fontId="0" fillId="0" borderId="0" xfId="3" applyNumberFormat="1" applyFont="1" applyFill="1" applyBorder="1" applyAlignment="1">
      <alignment horizontal="center" vertical="center"/>
    </xf>
    <xf numFmtId="167" fontId="0" fillId="4" borderId="0" xfId="3" applyNumberFormat="1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167" fontId="13" fillId="4" borderId="0" xfId="3" applyNumberFormat="1" applyFont="1" applyFill="1" applyBorder="1" applyAlignment="1">
      <alignment horizontal="center" vertical="center"/>
    </xf>
    <xf numFmtId="167" fontId="1" fillId="0" borderId="0" xfId="3" applyNumberFormat="1" applyFont="1" applyBorder="1" applyAlignment="1">
      <alignment horizontal="center" vertical="center"/>
    </xf>
    <xf numFmtId="167" fontId="12" fillId="4" borderId="0" xfId="3" applyNumberFormat="1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left" vertical="center" wrapText="1"/>
    </xf>
    <xf numFmtId="16" fontId="0" fillId="0" borderId="0" xfId="0" applyNumberFormat="1" applyAlignment="1">
      <alignment horizontal="center" vertical="center"/>
    </xf>
    <xf numFmtId="167" fontId="0" fillId="0" borderId="0" xfId="3" applyNumberFormat="1" applyFont="1" applyAlignment="1">
      <alignment horizontal="center" vertical="center"/>
    </xf>
    <xf numFmtId="167" fontId="1" fillId="0" borderId="0" xfId="3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167" fontId="0" fillId="4" borderId="0" xfId="3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 wrapText="1"/>
    </xf>
    <xf numFmtId="167" fontId="0" fillId="0" borderId="0" xfId="3" applyNumberFormat="1" applyFont="1" applyFill="1" applyAlignment="1">
      <alignment horizontal="center" vertical="center"/>
    </xf>
    <xf numFmtId="167" fontId="1" fillId="4" borderId="0" xfId="3" applyNumberFormat="1" applyFont="1" applyFill="1" applyAlignment="1">
      <alignment horizontal="center" vertical="center"/>
    </xf>
    <xf numFmtId="167" fontId="1" fillId="0" borderId="0" xfId="3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7" fontId="1" fillId="0" borderId="0" xfId="3" applyNumberFormat="1" applyFont="1" applyAlignment="1">
      <alignment horizontal="center" vertical="center"/>
    </xf>
    <xf numFmtId="167" fontId="12" fillId="0" borderId="0" xfId="3" applyNumberFormat="1" applyFont="1" applyAlignment="1">
      <alignment horizontal="center" vertical="center"/>
    </xf>
    <xf numFmtId="167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0" fillId="0" borderId="0" xfId="0" applyFont="1"/>
    <xf numFmtId="166" fontId="1" fillId="0" borderId="0" xfId="1" applyNumberFormat="1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7" xfId="0" applyFont="1" applyBorder="1"/>
    <xf numFmtId="0" fontId="0" fillId="0" borderId="7" xfId="0" applyFont="1" applyBorder="1" applyAlignment="1">
      <alignment horizontal="left"/>
    </xf>
    <xf numFmtId="0" fontId="12" fillId="0" borderId="7" xfId="0" applyFont="1" applyBorder="1" applyAlignment="1">
      <alignment horizontal="center"/>
    </xf>
    <xf numFmtId="166" fontId="12" fillId="0" borderId="7" xfId="1" applyNumberFormat="1" applyFont="1" applyBorder="1"/>
    <xf numFmtId="0" fontId="0" fillId="0" borderId="7" xfId="0" applyFont="1" applyBorder="1" applyAlignment="1">
      <alignment horizontal="center"/>
    </xf>
    <xf numFmtId="164" fontId="4" fillId="0" borderId="7" xfId="2" applyFont="1" applyFill="1" applyBorder="1" applyAlignment="1">
      <alignment horizontal="left" vertical="center"/>
    </xf>
    <xf numFmtId="0" fontId="0" fillId="0" borderId="7" xfId="0" quotePrefix="1" applyFont="1" applyBorder="1" applyAlignment="1">
      <alignment horizontal="center"/>
    </xf>
    <xf numFmtId="166" fontId="1" fillId="0" borderId="7" xfId="1" applyNumberFormat="1" applyFont="1" applyBorder="1"/>
    <xf numFmtId="166" fontId="1" fillId="0" borderId="7" xfId="1" quotePrefix="1" applyNumberFormat="1" applyFont="1" applyBorder="1"/>
    <xf numFmtId="0" fontId="0" fillId="0" borderId="7" xfId="0" quotePrefix="1" applyFont="1" applyFill="1" applyBorder="1" applyAlignment="1">
      <alignment horizontal="center"/>
    </xf>
    <xf numFmtId="166" fontId="12" fillId="0" borderId="8" xfId="1" applyNumberFormat="1" applyFont="1" applyBorder="1" applyAlignment="1"/>
    <xf numFmtId="166" fontId="12" fillId="0" borderId="9" xfId="1" applyNumberFormat="1" applyFont="1" applyBorder="1" applyAlignment="1"/>
    <xf numFmtId="166" fontId="2" fillId="2" borderId="2" xfId="1" applyNumberFormat="1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64" fontId="2" fillId="0" borderId="5" xfId="2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 wrapText="1"/>
    </xf>
    <xf numFmtId="0" fontId="2" fillId="0" borderId="3" xfId="0" quotePrefix="1" applyFont="1" applyFill="1" applyBorder="1" applyAlignment="1">
      <alignment horizontal="center" vertical="center"/>
    </xf>
    <xf numFmtId="166" fontId="2" fillId="0" borderId="2" xfId="1" quotePrefix="1" applyNumberFormat="1" applyFont="1" applyFill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164" fontId="2" fillId="0" borderId="1" xfId="2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165" fontId="2" fillId="0" borderId="1" xfId="1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49" fontId="2" fillId="0" borderId="2" xfId="0" applyNumberFormat="1" applyFont="1" applyFill="1" applyBorder="1" applyAlignment="1">
      <alignment horizontal="center" vertical="center"/>
    </xf>
    <xf numFmtId="164" fontId="2" fillId="0" borderId="2" xfId="2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 wrapText="1"/>
    </xf>
    <xf numFmtId="165" fontId="2" fillId="0" borderId="2" xfId="1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167" fontId="2" fillId="0" borderId="2" xfId="1" applyNumberFormat="1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  <xf numFmtId="0" fontId="2" fillId="0" borderId="2" xfId="1" applyNumberFormat="1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0" fontId="2" fillId="0" borderId="2" xfId="0" quotePrefix="1" applyFont="1" applyFill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65" fontId="2" fillId="0" borderId="2" xfId="1" applyFont="1" applyFill="1" applyBorder="1" applyAlignment="1">
      <alignment horizontal="center" vertical="center"/>
    </xf>
    <xf numFmtId="1" fontId="2" fillId="0" borderId="2" xfId="1" applyNumberFormat="1" applyFont="1" applyFill="1" applyBorder="1" applyAlignment="1">
      <alignment horizontal="center" vertical="center"/>
    </xf>
    <xf numFmtId="167" fontId="2" fillId="0" borderId="2" xfId="1" applyNumberFormat="1" applyFont="1" applyFill="1" applyBorder="1" applyAlignment="1">
      <alignment horizontal="center" vertical="center" wrapText="1"/>
    </xf>
    <xf numFmtId="164" fontId="4" fillId="0" borderId="1" xfId="2" applyFont="1" applyFill="1" applyBorder="1" applyAlignment="1">
      <alignment horizontal="center" vertical="center"/>
    </xf>
    <xf numFmtId="164" fontId="4" fillId="0" borderId="2" xfId="2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/>
    </xf>
    <xf numFmtId="0" fontId="5" fillId="0" borderId="2" xfId="1" applyNumberFormat="1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64" fontId="5" fillId="0" borderId="2" xfId="2" applyFont="1" applyFill="1" applyBorder="1" applyAlignment="1">
      <alignment horizontal="center" vertical="center"/>
    </xf>
    <xf numFmtId="166" fontId="5" fillId="0" borderId="2" xfId="1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2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166" fontId="4" fillId="2" borderId="2" xfId="1" applyNumberFormat="1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/>
    </xf>
    <xf numFmtId="0" fontId="4" fillId="2" borderId="2" xfId="1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164" fontId="4" fillId="2" borderId="2" xfId="2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166" fontId="4" fillId="2" borderId="2" xfId="1" quotePrefix="1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2" fontId="5" fillId="0" borderId="2" xfId="0" quotePrefix="1" applyNumberFormat="1" applyFont="1" applyFill="1" applyBorder="1" applyAlignment="1">
      <alignment horizontal="center" vertical="center"/>
    </xf>
    <xf numFmtId="168" fontId="3" fillId="0" borderId="1" xfId="0" applyNumberFormat="1" applyFont="1" applyFill="1" applyBorder="1" applyAlignment="1">
      <alignment horizontal="center" vertical="center" wrapText="1"/>
    </xf>
    <xf numFmtId="168" fontId="4" fillId="0" borderId="1" xfId="0" applyNumberFormat="1" applyFont="1" applyFill="1" applyBorder="1" applyAlignment="1">
      <alignment horizontal="center" vertical="center"/>
    </xf>
    <xf numFmtId="168" fontId="4" fillId="0" borderId="2" xfId="0" applyNumberFormat="1" applyFont="1" applyFill="1" applyBorder="1" applyAlignment="1">
      <alignment horizontal="center" vertical="center"/>
    </xf>
    <xf numFmtId="168" fontId="5" fillId="0" borderId="2" xfId="0" applyNumberFormat="1" applyFont="1" applyFill="1" applyBorder="1" applyAlignment="1">
      <alignment horizontal="center" vertical="center"/>
    </xf>
    <xf numFmtId="168" fontId="5" fillId="0" borderId="2" xfId="0" quotePrefix="1" applyNumberFormat="1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/>
    </xf>
    <xf numFmtId="168" fontId="4" fillId="2" borderId="2" xfId="0" applyNumberFormat="1" applyFont="1" applyFill="1" applyBorder="1" applyAlignment="1">
      <alignment horizontal="center" vertical="center"/>
    </xf>
    <xf numFmtId="168" fontId="4" fillId="0" borderId="3" xfId="0" applyNumberFormat="1" applyFont="1" applyFill="1" applyBorder="1" applyAlignment="1">
      <alignment horizontal="center" vertical="center"/>
    </xf>
    <xf numFmtId="168" fontId="2" fillId="0" borderId="2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/>
    </xf>
    <xf numFmtId="49" fontId="14" fillId="0" borderId="2" xfId="0" applyNumberFormat="1" applyFont="1" applyFill="1" applyBorder="1" applyAlignment="1">
      <alignment horizontal="center" vertical="center"/>
    </xf>
    <xf numFmtId="167" fontId="14" fillId="0" borderId="0" xfId="3" applyNumberFormat="1" applyFont="1" applyFill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2" fontId="14" fillId="0" borderId="2" xfId="0" quotePrefix="1" applyNumberFormat="1" applyFont="1" applyFill="1" applyBorder="1" applyAlignment="1">
      <alignment horizontal="center" vertical="center"/>
    </xf>
    <xf numFmtId="0" fontId="14" fillId="0" borderId="2" xfId="3" applyNumberFormat="1" applyFont="1" applyFill="1" applyBorder="1" applyAlignment="1">
      <alignment horizontal="center" vertical="center"/>
    </xf>
    <xf numFmtId="1" fontId="14" fillId="0" borderId="2" xfId="0" quotePrefix="1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168" fontId="14" fillId="0" borderId="2" xfId="0" quotePrefix="1" applyNumberFormat="1" applyFont="1" applyFill="1" applyBorder="1" applyAlignment="1">
      <alignment horizontal="center" vertical="center"/>
    </xf>
    <xf numFmtId="164" fontId="14" fillId="0" borderId="1" xfId="2" applyFont="1" applyFill="1" applyBorder="1" applyAlignment="1">
      <alignment horizontal="center" vertical="center"/>
    </xf>
    <xf numFmtId="0" fontId="14" fillId="0" borderId="2" xfId="0" quotePrefix="1" applyFont="1" applyFill="1" applyBorder="1" applyAlignment="1">
      <alignment horizontal="center" vertical="center"/>
    </xf>
    <xf numFmtId="166" fontId="14" fillId="0" borderId="2" xfId="3" applyNumberFormat="1" applyFont="1" applyFill="1" applyBorder="1" applyAlignment="1">
      <alignment horizontal="center" vertical="center" wrapText="1"/>
    </xf>
    <xf numFmtId="166" fontId="14" fillId="0" borderId="2" xfId="3" applyNumberFormat="1" applyFont="1" applyFill="1" applyBorder="1" applyAlignment="1">
      <alignment horizontal="center" vertical="center"/>
    </xf>
    <xf numFmtId="43" fontId="14" fillId="0" borderId="2" xfId="3" applyFont="1" applyFill="1" applyBorder="1" applyAlignment="1">
      <alignment horizontal="center" vertical="center"/>
    </xf>
    <xf numFmtId="1" fontId="14" fillId="0" borderId="2" xfId="3" applyNumberFormat="1" applyFont="1" applyFill="1" applyBorder="1" applyAlignment="1">
      <alignment horizontal="center" vertical="center"/>
    </xf>
    <xf numFmtId="167" fontId="14" fillId="0" borderId="2" xfId="3" applyNumberFormat="1" applyFont="1" applyFill="1" applyBorder="1" applyAlignment="1">
      <alignment horizontal="center" vertical="center" wrapText="1"/>
    </xf>
    <xf numFmtId="167" fontId="14" fillId="0" borderId="2" xfId="3" applyNumberFormat="1" applyFont="1" applyFill="1" applyBorder="1" applyAlignment="1">
      <alignment horizontal="center" vertical="center"/>
    </xf>
  </cellXfs>
  <cellStyles count="4">
    <cellStyle name="Comma" xfId="1" builtinId="3"/>
    <cellStyle name="Comma [0]" xfId="2" builtinId="6"/>
    <cellStyle name="Comma 2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19051</xdr:colOff>
      <xdr:row>21</xdr:row>
      <xdr:rowOff>47625</xdr:rowOff>
    </xdr:from>
    <xdr:to>
      <xdr:col>12</xdr:col>
      <xdr:colOff>350723</xdr:colOff>
      <xdr:row>29</xdr:row>
      <xdr:rowOff>314325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6" y="5505450"/>
          <a:ext cx="1550872" cy="336232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16</xdr:row>
      <xdr:rowOff>28576</xdr:rowOff>
    </xdr:from>
    <xdr:to>
      <xdr:col>13</xdr:col>
      <xdr:colOff>494845</xdr:colOff>
      <xdr:row>18</xdr:row>
      <xdr:rowOff>114300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3724276"/>
          <a:ext cx="2399845" cy="790574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19051</xdr:colOff>
      <xdr:row>12</xdr:row>
      <xdr:rowOff>28576</xdr:rowOff>
    </xdr:from>
    <xdr:to>
      <xdr:col>13</xdr:col>
      <xdr:colOff>489333</xdr:colOff>
      <xdr:row>15</xdr:row>
      <xdr:rowOff>133350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6" y="2314576"/>
          <a:ext cx="2394332" cy="1162049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57151</xdr:colOff>
      <xdr:row>32</xdr:row>
      <xdr:rowOff>1</xdr:rowOff>
    </xdr:from>
    <xdr:to>
      <xdr:col>15</xdr:col>
      <xdr:colOff>639247</xdr:colOff>
      <xdr:row>49</xdr:row>
      <xdr:rowOff>95250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076" y="9667876"/>
          <a:ext cx="1801296" cy="3905249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19051</xdr:colOff>
      <xdr:row>21</xdr:row>
      <xdr:rowOff>28575</xdr:rowOff>
    </xdr:from>
    <xdr:to>
      <xdr:col>15</xdr:col>
      <xdr:colOff>323850</xdr:colOff>
      <xdr:row>29</xdr:row>
      <xdr:rowOff>233659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6" y="5486400"/>
          <a:ext cx="1523999" cy="3300709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19051</xdr:colOff>
      <xdr:row>31</xdr:row>
      <xdr:rowOff>180975</xdr:rowOff>
    </xdr:from>
    <xdr:to>
      <xdr:col>12</xdr:col>
      <xdr:colOff>605541</xdr:colOff>
      <xdr:row>48</xdr:row>
      <xdr:rowOff>95250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6" y="9467850"/>
          <a:ext cx="1805690" cy="3914775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514351</xdr:colOff>
      <xdr:row>93</xdr:row>
      <xdr:rowOff>95605</xdr:rowOff>
    </xdr:from>
    <xdr:to>
      <xdr:col>8</xdr:col>
      <xdr:colOff>142875</xdr:colOff>
      <xdr:row>119</xdr:row>
      <xdr:rowOff>114300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6" y="25289230"/>
          <a:ext cx="2295524" cy="497169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92</xdr:row>
      <xdr:rowOff>76201</xdr:rowOff>
    </xdr:from>
    <xdr:to>
      <xdr:col>6</xdr:col>
      <xdr:colOff>333375</xdr:colOff>
      <xdr:row>116</xdr:row>
      <xdr:rowOff>152401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5" y="23098126"/>
          <a:ext cx="3686175" cy="4914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ENDAHARA\Downloads\terbilang%20(1)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EUANGAN%202024\terbilang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terbilang (1)"/>
    </sheetNames>
    <definedNames>
      <definedName name="terbilang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terbilang"/>
    </sheetNames>
    <definedNames>
      <definedName name="terbilang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125"/>
  <sheetViews>
    <sheetView showGridLines="0" tabSelected="1" topLeftCell="F1" zoomScale="85" zoomScaleNormal="85" workbookViewId="0">
      <pane ySplit="1" topLeftCell="A122" activePane="bottomLeft" state="frozen"/>
      <selection pane="bottomLeft" activeCell="K125" sqref="K125"/>
    </sheetView>
  </sheetViews>
  <sheetFormatPr defaultColWidth="51.28515625" defaultRowHeight="97.5" customHeight="1" x14ac:dyDescent="0.25"/>
  <cols>
    <col min="1" max="1" width="9.85546875" style="19" bestFit="1" customWidth="1"/>
    <col min="2" max="2" width="30" style="35" customWidth="1"/>
    <col min="3" max="3" width="56.28515625" style="14" customWidth="1"/>
    <col min="4" max="4" width="63.7109375" style="14" customWidth="1"/>
    <col min="5" max="5" width="38.5703125" style="14" customWidth="1"/>
    <col min="6" max="6" width="22.28515625" style="34" customWidth="1"/>
    <col min="7" max="7" width="53" style="34" bestFit="1" customWidth="1"/>
    <col min="8" max="8" width="26.28515625" style="12" customWidth="1"/>
    <col min="9" max="9" width="26.28515625" style="19" customWidth="1"/>
    <col min="10" max="10" width="17.5703125" style="19" customWidth="1"/>
    <col min="11" max="12" width="17.85546875" style="20" customWidth="1"/>
    <col min="13" max="13" width="18.5703125" style="19" customWidth="1"/>
    <col min="14" max="14" width="18.85546875" style="21" customWidth="1"/>
    <col min="15" max="15" width="70.42578125" style="13" bestFit="1" customWidth="1"/>
    <col min="16" max="16" width="39.85546875" style="12" customWidth="1"/>
    <col min="17" max="17" width="23" style="212" customWidth="1"/>
    <col min="18" max="18" width="10.42578125" style="12" customWidth="1"/>
    <col min="19" max="19" width="14.28515625" style="12" customWidth="1"/>
    <col min="20" max="20" width="17" style="12" customWidth="1"/>
    <col min="21" max="21" width="15" style="12" customWidth="1"/>
    <col min="22" max="22" width="26.42578125" style="209" customWidth="1"/>
    <col min="23" max="23" width="13.5703125" style="12" customWidth="1"/>
    <col min="24" max="24" width="16.28515625" style="12" customWidth="1"/>
    <col min="25" max="25" width="17" style="12" customWidth="1"/>
    <col min="26" max="26" width="37" style="16" customWidth="1"/>
    <col min="27" max="27" width="20.28515625" style="209" customWidth="1"/>
    <col min="28" max="28" width="36.85546875" style="12" customWidth="1"/>
    <col min="29" max="29" width="61.85546875" style="41" customWidth="1"/>
    <col min="30" max="30" width="38.140625" style="43" bestFit="1" customWidth="1"/>
    <col min="31" max="31" width="14.140625" style="19" bestFit="1" customWidth="1"/>
    <col min="32" max="32" width="14.42578125" style="19" bestFit="1" customWidth="1"/>
    <col min="33" max="33" width="15" style="19" bestFit="1" customWidth="1"/>
    <col min="34" max="35" width="14.28515625" style="16" customWidth="1"/>
    <col min="36" max="36" width="18.140625" style="12" customWidth="1"/>
    <col min="37" max="37" width="20" style="233" customWidth="1"/>
    <col min="38" max="38" width="66.28515625" style="43" customWidth="1"/>
    <col min="39" max="39" width="32.28515625" style="206" bestFit="1" customWidth="1"/>
    <col min="40" max="40" width="18.28515625" style="19" customWidth="1"/>
    <col min="41" max="41" width="25.5703125" style="19" customWidth="1"/>
    <col min="42" max="42" width="31.140625" style="120" bestFit="1" customWidth="1"/>
    <col min="43" max="43" width="47.28515625" style="212" customWidth="1"/>
    <col min="44" max="45" width="18.140625" style="31" bestFit="1" customWidth="1"/>
    <col min="46" max="46" width="17.140625" style="31" customWidth="1"/>
    <col min="47" max="48" width="16.5703125" style="18" customWidth="1"/>
    <col min="49" max="49" width="20.140625" style="32" customWidth="1"/>
    <col min="50" max="51" width="24.85546875" style="15" customWidth="1"/>
    <col min="52" max="52" width="15.85546875" style="15" customWidth="1"/>
    <col min="53" max="53" width="15.7109375" style="15" customWidth="1"/>
    <col min="54" max="54" width="24.140625" style="15" customWidth="1"/>
    <col min="55" max="55" width="18.85546875" style="15" customWidth="1"/>
    <col min="56" max="56" width="19.28515625" style="15" customWidth="1"/>
    <col min="57" max="57" width="19.85546875" style="15" customWidth="1"/>
    <col min="58" max="58" width="25.28515625" style="15" customWidth="1"/>
    <col min="59" max="59" width="20.140625" style="15" customWidth="1"/>
    <col min="60" max="60" width="20.5703125" style="15" customWidth="1"/>
    <col min="61" max="61" width="21" style="15" customWidth="1"/>
    <col min="62" max="62" width="17.5703125" style="32" bestFit="1" customWidth="1"/>
    <col min="63" max="63" width="54.42578125" style="13" customWidth="1"/>
    <col min="64" max="16384" width="51.28515625" style="18"/>
  </cols>
  <sheetData>
    <row r="1" spans="1:63" s="11" customFormat="1" ht="97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76</v>
      </c>
      <c r="F1" s="2" t="s">
        <v>4</v>
      </c>
      <c r="G1" s="2" t="s">
        <v>69</v>
      </c>
      <c r="H1" s="3" t="s">
        <v>5</v>
      </c>
      <c r="I1" s="2" t="s">
        <v>5</v>
      </c>
      <c r="J1" s="2" t="s">
        <v>6</v>
      </c>
      <c r="K1" s="1" t="s">
        <v>7</v>
      </c>
      <c r="L1" s="1" t="s">
        <v>7</v>
      </c>
      <c r="M1" s="2" t="s">
        <v>8</v>
      </c>
      <c r="N1" s="4" t="s">
        <v>9</v>
      </c>
      <c r="O1" s="3" t="s">
        <v>10</v>
      </c>
      <c r="P1" s="3" t="s">
        <v>11</v>
      </c>
      <c r="Q1" s="2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5" t="s">
        <v>17</v>
      </c>
      <c r="W1" s="3" t="s">
        <v>18</v>
      </c>
      <c r="X1" s="3" t="s">
        <v>19</v>
      </c>
      <c r="Y1" s="3" t="s">
        <v>90</v>
      </c>
      <c r="Z1" s="6" t="s">
        <v>20</v>
      </c>
      <c r="AA1" s="5" t="s">
        <v>21</v>
      </c>
      <c r="AB1" s="3" t="s">
        <v>22</v>
      </c>
      <c r="AC1" s="3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6" t="s">
        <v>28</v>
      </c>
      <c r="AI1" s="6" t="s">
        <v>28</v>
      </c>
      <c r="AJ1" s="3" t="s">
        <v>29</v>
      </c>
      <c r="AK1" s="230" t="s">
        <v>30</v>
      </c>
      <c r="AL1" s="2" t="s">
        <v>31</v>
      </c>
      <c r="AM1" s="4" t="s">
        <v>32</v>
      </c>
      <c r="AN1" s="2" t="s">
        <v>33</v>
      </c>
      <c r="AO1" s="2" t="s">
        <v>34</v>
      </c>
      <c r="AP1" s="7" t="s">
        <v>35</v>
      </c>
      <c r="AQ1" s="2" t="s">
        <v>36</v>
      </c>
      <c r="AR1" s="7" t="s">
        <v>37</v>
      </c>
      <c r="AS1" s="7" t="s">
        <v>38</v>
      </c>
      <c r="AT1" s="7" t="s">
        <v>39</v>
      </c>
      <c r="AU1" s="2" t="s">
        <v>40</v>
      </c>
      <c r="AV1" s="2" t="s">
        <v>41</v>
      </c>
      <c r="AW1" s="8" t="s">
        <v>42</v>
      </c>
      <c r="AX1" s="3" t="s">
        <v>43</v>
      </c>
      <c r="AY1" s="3" t="s">
        <v>44</v>
      </c>
      <c r="AZ1" s="3" t="s">
        <v>45</v>
      </c>
      <c r="BA1" s="3" t="s">
        <v>46</v>
      </c>
      <c r="BB1" s="9" t="s">
        <v>47</v>
      </c>
      <c r="BC1" s="9" t="s">
        <v>48</v>
      </c>
      <c r="BD1" s="9" t="s">
        <v>49</v>
      </c>
      <c r="BE1" s="9" t="s">
        <v>50</v>
      </c>
      <c r="BF1" s="9" t="s">
        <v>51</v>
      </c>
      <c r="BG1" s="9" t="s">
        <v>52</v>
      </c>
      <c r="BH1" s="9" t="s">
        <v>53</v>
      </c>
      <c r="BI1" s="9" t="s">
        <v>54</v>
      </c>
      <c r="BJ1" s="10" t="s">
        <v>55</v>
      </c>
      <c r="BK1" s="3" t="s">
        <v>56</v>
      </c>
    </row>
    <row r="2" spans="1:63" s="23" customFormat="1" ht="97.5" customHeight="1" x14ac:dyDescent="0.25">
      <c r="A2" s="22"/>
      <c r="B2" s="27" t="s">
        <v>694</v>
      </c>
      <c r="C2" s="11" t="s">
        <v>57</v>
      </c>
      <c r="D2" s="11" t="s">
        <v>59</v>
      </c>
      <c r="E2" s="11"/>
      <c r="F2" s="23" t="s">
        <v>725</v>
      </c>
      <c r="G2" s="23" t="s">
        <v>58</v>
      </c>
      <c r="H2" s="22"/>
      <c r="I2" s="22"/>
      <c r="J2" s="22"/>
      <c r="K2" s="24"/>
      <c r="L2" s="24"/>
      <c r="M2" s="22"/>
      <c r="N2" s="25">
        <v>295402352</v>
      </c>
      <c r="O2" s="14" t="e">
        <f ca="1">[1]!terbilang(N2)</f>
        <v>#NAME?</v>
      </c>
      <c r="P2" s="22"/>
      <c r="Q2" s="104"/>
      <c r="R2" s="22"/>
      <c r="S2" s="22"/>
      <c r="T2" s="105"/>
      <c r="U2" s="22"/>
      <c r="V2" s="106"/>
      <c r="W2" s="22"/>
      <c r="X2" s="22"/>
      <c r="Y2" s="22"/>
      <c r="Z2" s="24"/>
      <c r="AA2" s="106"/>
      <c r="AB2" s="22"/>
      <c r="AC2" s="107"/>
      <c r="AD2" s="43" t="s">
        <v>706</v>
      </c>
      <c r="AE2" s="12">
        <v>3</v>
      </c>
      <c r="AF2" s="19" t="s">
        <v>70</v>
      </c>
      <c r="AG2" s="19">
        <v>2026</v>
      </c>
      <c r="AH2" s="24"/>
      <c r="AI2" s="24"/>
      <c r="AJ2" s="22"/>
      <c r="AK2" s="231"/>
      <c r="AL2" s="107" t="s">
        <v>712</v>
      </c>
      <c r="AM2" s="205" t="s">
        <v>695</v>
      </c>
      <c r="AN2" s="22" t="s">
        <v>71</v>
      </c>
      <c r="AO2" s="95" t="s">
        <v>72</v>
      </c>
      <c r="AP2" s="96" t="s">
        <v>60</v>
      </c>
      <c r="AQ2" s="97" t="s">
        <v>702</v>
      </c>
      <c r="AR2" s="28"/>
      <c r="AS2" s="28"/>
      <c r="AT2" s="28"/>
      <c r="AW2" s="29"/>
      <c r="BJ2" s="29"/>
      <c r="BK2" s="11"/>
    </row>
    <row r="3" spans="1:63" ht="97.5" customHeight="1" x14ac:dyDescent="0.25">
      <c r="B3" s="27" t="s">
        <v>694</v>
      </c>
      <c r="C3" s="14" t="s">
        <v>77</v>
      </c>
      <c r="D3" s="14" t="s">
        <v>61</v>
      </c>
      <c r="F3" s="18" t="s">
        <v>719</v>
      </c>
      <c r="G3" s="18" t="s">
        <v>58</v>
      </c>
      <c r="H3" s="19"/>
      <c r="N3" s="21">
        <v>2091686954</v>
      </c>
      <c r="O3" s="14" t="e">
        <f ca="1">[1]!terbilang(N3)</f>
        <v>#NAME?</v>
      </c>
      <c r="P3" s="19"/>
      <c r="Q3" s="116"/>
      <c r="R3" s="19"/>
      <c r="S3" s="19"/>
      <c r="T3" s="117"/>
      <c r="U3" s="19"/>
      <c r="V3" s="118"/>
      <c r="W3" s="19"/>
      <c r="X3" s="19"/>
      <c r="Y3" s="19"/>
      <c r="Z3" s="20"/>
      <c r="AA3" s="118"/>
      <c r="AB3" s="19"/>
      <c r="AC3" s="43"/>
      <c r="AD3" s="43" t="s">
        <v>707</v>
      </c>
      <c r="AE3" s="12">
        <v>3</v>
      </c>
      <c r="AF3" s="19" t="s">
        <v>70</v>
      </c>
      <c r="AG3" s="19">
        <v>2026</v>
      </c>
      <c r="AH3" s="20"/>
      <c r="AI3" s="20"/>
      <c r="AJ3" s="19" t="s">
        <v>65</v>
      </c>
      <c r="AK3" s="232"/>
      <c r="AL3" s="43" t="s">
        <v>713</v>
      </c>
      <c r="AM3" s="206" t="s">
        <v>696</v>
      </c>
      <c r="AN3" s="19" t="s">
        <v>81</v>
      </c>
      <c r="AO3" s="119" t="s">
        <v>62</v>
      </c>
      <c r="AP3" s="96" t="s">
        <v>63</v>
      </c>
      <c r="AQ3" s="97" t="s">
        <v>703</v>
      </c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K3" s="14"/>
    </row>
    <row r="4" spans="1:63" ht="97.5" customHeight="1" x14ac:dyDescent="0.25">
      <c r="B4" s="27" t="s">
        <v>694</v>
      </c>
      <c r="C4" s="14" t="s">
        <v>724</v>
      </c>
      <c r="D4" s="14" t="s">
        <v>64</v>
      </c>
      <c r="F4" s="18" t="s">
        <v>723</v>
      </c>
      <c r="G4" s="18" t="s">
        <v>58</v>
      </c>
      <c r="H4" s="19"/>
      <c r="N4" s="21">
        <v>22450524</v>
      </c>
      <c r="O4" s="14" t="e">
        <f ca="1">[1]!terbilang(N4)</f>
        <v>#NAME?</v>
      </c>
      <c r="P4" s="19" t="s">
        <v>65</v>
      </c>
      <c r="Q4" s="116"/>
      <c r="R4" s="19"/>
      <c r="S4" s="19"/>
      <c r="T4" s="117"/>
      <c r="U4" s="19"/>
      <c r="V4" s="118"/>
      <c r="W4" s="19"/>
      <c r="X4" s="19"/>
      <c r="Y4" s="19"/>
      <c r="Z4" s="20"/>
      <c r="AA4" s="118"/>
      <c r="AB4" s="19"/>
      <c r="AC4" s="43"/>
      <c r="AD4" s="43" t="s">
        <v>708</v>
      </c>
      <c r="AE4" s="12">
        <v>3</v>
      </c>
      <c r="AF4" s="19" t="s">
        <v>70</v>
      </c>
      <c r="AG4" s="19">
        <v>2026</v>
      </c>
      <c r="AH4" s="20"/>
      <c r="AI4" s="20"/>
      <c r="AJ4" s="19"/>
      <c r="AK4" s="232" t="s">
        <v>65</v>
      </c>
      <c r="AL4" s="43" t="s">
        <v>714</v>
      </c>
      <c r="AM4" s="206" t="s">
        <v>697</v>
      </c>
      <c r="AN4" s="22" t="s">
        <v>73</v>
      </c>
      <c r="AO4" s="95" t="s">
        <v>74</v>
      </c>
      <c r="AP4" s="96" t="s">
        <v>66</v>
      </c>
      <c r="AQ4" s="97" t="s">
        <v>704</v>
      </c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K4" s="14"/>
    </row>
    <row r="5" spans="1:63" ht="97.5" customHeight="1" x14ac:dyDescent="0.25">
      <c r="B5" s="27" t="s">
        <v>694</v>
      </c>
      <c r="C5" s="14" t="s">
        <v>722</v>
      </c>
      <c r="D5" s="14" t="s">
        <v>67</v>
      </c>
      <c r="F5" s="18" t="s">
        <v>723</v>
      </c>
      <c r="G5" s="18" t="s">
        <v>58</v>
      </c>
      <c r="H5" s="19"/>
      <c r="N5" s="21">
        <v>270713000</v>
      </c>
      <c r="O5" s="14" t="e">
        <f ca="1">[1]!terbilang(N5)</f>
        <v>#NAME?</v>
      </c>
      <c r="P5" s="19"/>
      <c r="Q5" s="116"/>
      <c r="R5" s="19"/>
      <c r="S5" s="19"/>
      <c r="T5" s="117"/>
      <c r="U5" s="19"/>
      <c r="V5" s="118"/>
      <c r="W5" s="19"/>
      <c r="X5" s="19"/>
      <c r="Y5" s="19"/>
      <c r="Z5" s="20"/>
      <c r="AA5" s="118"/>
      <c r="AB5" s="19"/>
      <c r="AC5" s="43"/>
      <c r="AD5" s="43" t="s">
        <v>709</v>
      </c>
      <c r="AE5" s="12">
        <v>3</v>
      </c>
      <c r="AF5" s="19" t="s">
        <v>70</v>
      </c>
      <c r="AG5" s="19">
        <v>2026</v>
      </c>
      <c r="AH5" s="20"/>
      <c r="AI5" s="20"/>
      <c r="AJ5" s="19"/>
      <c r="AK5" s="232"/>
      <c r="AL5" s="43" t="s">
        <v>700</v>
      </c>
      <c r="AM5" s="206" t="s">
        <v>698</v>
      </c>
      <c r="AN5" s="19" t="s">
        <v>81</v>
      </c>
      <c r="AO5" s="119" t="s">
        <v>62</v>
      </c>
      <c r="AP5" s="96" t="s">
        <v>63</v>
      </c>
      <c r="AQ5" s="97" t="s">
        <v>705</v>
      </c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K5" s="14"/>
    </row>
    <row r="6" spans="1:63" ht="97.5" customHeight="1" x14ac:dyDescent="0.25">
      <c r="B6" s="27" t="s">
        <v>694</v>
      </c>
      <c r="C6" s="14" t="s">
        <v>720</v>
      </c>
      <c r="D6" s="14" t="s">
        <v>68</v>
      </c>
      <c r="F6" s="18" t="s">
        <v>721</v>
      </c>
      <c r="G6" s="18" t="s">
        <v>58</v>
      </c>
      <c r="H6" s="19"/>
      <c r="N6" s="21">
        <v>4104291033</v>
      </c>
      <c r="O6" s="14" t="e">
        <f ca="1">[1]!terbilang(N6)</f>
        <v>#NAME?</v>
      </c>
      <c r="P6" s="19"/>
      <c r="Q6" s="116"/>
      <c r="R6" s="19"/>
      <c r="S6" s="19"/>
      <c r="T6" s="117"/>
      <c r="U6" s="19"/>
      <c r="V6" s="118"/>
      <c r="W6" s="19"/>
      <c r="X6" s="19"/>
      <c r="Y6" s="19"/>
      <c r="Z6" s="20"/>
      <c r="AA6" s="118"/>
      <c r="AB6" s="19"/>
      <c r="AC6" s="43"/>
      <c r="AD6" s="43" t="s">
        <v>710</v>
      </c>
      <c r="AE6" s="12">
        <v>3</v>
      </c>
      <c r="AF6" s="19" t="s">
        <v>70</v>
      </c>
      <c r="AG6" s="19">
        <v>2026</v>
      </c>
      <c r="AH6" s="20"/>
      <c r="AI6" s="20"/>
      <c r="AJ6" s="19"/>
      <c r="AK6" s="232"/>
      <c r="AL6" s="43" t="s">
        <v>715</v>
      </c>
      <c r="AM6" s="206" t="s">
        <v>699</v>
      </c>
      <c r="AN6" s="22" t="s">
        <v>71</v>
      </c>
      <c r="AO6" s="95" t="s">
        <v>72</v>
      </c>
      <c r="AP6" s="96" t="s">
        <v>60</v>
      </c>
      <c r="AQ6" s="97" t="s">
        <v>711</v>
      </c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K6" s="14"/>
    </row>
    <row r="7" spans="1:63" ht="97.5" customHeight="1" x14ac:dyDescent="0.25">
      <c r="A7" s="12"/>
      <c r="B7" s="27" t="s">
        <v>694</v>
      </c>
      <c r="C7" s="13"/>
      <c r="D7" s="13"/>
      <c r="E7" s="13"/>
      <c r="F7" s="15"/>
      <c r="G7" s="15" t="s">
        <v>58</v>
      </c>
      <c r="I7" s="12"/>
      <c r="J7" s="12"/>
      <c r="K7" s="16"/>
      <c r="L7" s="16"/>
      <c r="M7" s="12"/>
      <c r="N7" s="17">
        <v>200000000</v>
      </c>
      <c r="O7" s="14" t="e">
        <f ca="1">[1]!terbilang(N7)</f>
        <v>#NAME?</v>
      </c>
      <c r="Q7" s="207"/>
      <c r="T7" s="208"/>
      <c r="V7" s="36"/>
      <c r="AD7" s="43" t="s">
        <v>718</v>
      </c>
      <c r="AE7" s="12">
        <v>4</v>
      </c>
      <c r="AF7" s="19" t="s">
        <v>70</v>
      </c>
      <c r="AG7" s="19">
        <v>2026</v>
      </c>
      <c r="AL7" s="41" t="s">
        <v>717</v>
      </c>
      <c r="AM7" s="210" t="s">
        <v>716</v>
      </c>
      <c r="AN7" s="12"/>
      <c r="AO7" s="12"/>
      <c r="AP7" s="211"/>
      <c r="AQ7" s="97" t="s">
        <v>701</v>
      </c>
    </row>
    <row r="8" spans="1:63" s="23" customFormat="1" ht="97.5" customHeight="1" x14ac:dyDescent="0.25">
      <c r="A8" s="22"/>
      <c r="B8" s="27" t="s">
        <v>694</v>
      </c>
      <c r="C8" s="11" t="s">
        <v>57</v>
      </c>
      <c r="D8" s="11" t="s">
        <v>59</v>
      </c>
      <c r="E8" s="11"/>
      <c r="F8" s="23" t="s">
        <v>726</v>
      </c>
      <c r="G8" s="23" t="s">
        <v>58</v>
      </c>
      <c r="H8" s="22"/>
      <c r="I8" s="22"/>
      <c r="J8" s="22"/>
      <c r="K8" s="24"/>
      <c r="L8" s="24"/>
      <c r="M8" s="22"/>
      <c r="N8" s="25">
        <v>7084818</v>
      </c>
      <c r="O8" s="14" t="e">
        <f ca="1">[1]!terbilang(N8)</f>
        <v>#NAME?</v>
      </c>
      <c r="P8" s="22"/>
      <c r="Q8" s="104"/>
      <c r="R8" s="22"/>
      <c r="S8" s="22"/>
      <c r="T8" s="105"/>
      <c r="U8" s="22"/>
      <c r="V8" s="106"/>
      <c r="W8" s="22"/>
      <c r="X8" s="22"/>
      <c r="Y8" s="22"/>
      <c r="Z8" s="24"/>
      <c r="AA8" s="106"/>
      <c r="AB8" s="22"/>
      <c r="AC8" s="107"/>
      <c r="AD8" s="43" t="s">
        <v>727</v>
      </c>
      <c r="AE8" s="12">
        <v>5</v>
      </c>
      <c r="AF8" s="19" t="s">
        <v>70</v>
      </c>
      <c r="AG8" s="19">
        <v>2026</v>
      </c>
      <c r="AH8" s="24"/>
      <c r="AI8" s="24"/>
      <c r="AJ8" s="22"/>
      <c r="AK8" s="231"/>
      <c r="AL8" s="107" t="s">
        <v>730</v>
      </c>
      <c r="AM8" s="205" t="s">
        <v>728</v>
      </c>
      <c r="AN8" s="22" t="s">
        <v>71</v>
      </c>
      <c r="AO8" s="95" t="s">
        <v>72</v>
      </c>
      <c r="AP8" s="96" t="s">
        <v>60</v>
      </c>
      <c r="AQ8" s="97" t="s">
        <v>729</v>
      </c>
      <c r="AR8" s="28"/>
      <c r="AS8" s="28"/>
      <c r="AT8" s="28"/>
      <c r="AW8" s="29"/>
      <c r="BJ8" s="29"/>
      <c r="BK8" s="11"/>
    </row>
    <row r="9" spans="1:63" ht="97.5" customHeight="1" x14ac:dyDescent="0.25">
      <c r="B9" s="27" t="s">
        <v>694</v>
      </c>
      <c r="C9" s="14" t="s">
        <v>77</v>
      </c>
      <c r="D9" s="14" t="s">
        <v>61</v>
      </c>
      <c r="F9" s="23" t="s">
        <v>731</v>
      </c>
      <c r="G9" s="18" t="s">
        <v>58</v>
      </c>
      <c r="H9" s="19"/>
      <c r="N9" s="21">
        <v>830526840</v>
      </c>
      <c r="O9" s="14" t="e">
        <f ca="1">[1]!terbilang(N9)</f>
        <v>#NAME?</v>
      </c>
      <c r="P9" s="19"/>
      <c r="Q9" s="116"/>
      <c r="R9" s="19"/>
      <c r="S9" s="19"/>
      <c r="T9" s="117"/>
      <c r="U9" s="19"/>
      <c r="V9" s="118"/>
      <c r="W9" s="19"/>
      <c r="X9" s="19"/>
      <c r="Y9" s="19"/>
      <c r="Z9" s="20"/>
      <c r="AA9" s="118"/>
      <c r="AB9" s="19"/>
      <c r="AC9" s="43"/>
      <c r="AD9" s="43" t="s">
        <v>732</v>
      </c>
      <c r="AE9" s="12">
        <v>5</v>
      </c>
      <c r="AF9" s="19" t="s">
        <v>70</v>
      </c>
      <c r="AG9" s="19">
        <v>2026</v>
      </c>
      <c r="AH9" s="20"/>
      <c r="AI9" s="20"/>
      <c r="AJ9" s="19" t="s">
        <v>65</v>
      </c>
      <c r="AK9" s="232"/>
      <c r="AL9" s="107" t="s">
        <v>733</v>
      </c>
      <c r="AM9" s="205" t="s">
        <v>734</v>
      </c>
      <c r="AN9" s="19" t="s">
        <v>81</v>
      </c>
      <c r="AO9" s="119" t="s">
        <v>62</v>
      </c>
      <c r="AP9" s="96" t="s">
        <v>63</v>
      </c>
      <c r="AQ9" s="97" t="s">
        <v>735</v>
      </c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K9" s="14"/>
    </row>
    <row r="10" spans="1:63" ht="97.5" customHeight="1" x14ac:dyDescent="0.25">
      <c r="B10" s="27" t="s">
        <v>694</v>
      </c>
      <c r="C10" s="14" t="s">
        <v>722</v>
      </c>
      <c r="D10" s="14" t="s">
        <v>67</v>
      </c>
      <c r="F10" s="23" t="s">
        <v>726</v>
      </c>
      <c r="G10" s="18" t="s">
        <v>58</v>
      </c>
      <c r="H10" s="19"/>
      <c r="N10" s="21">
        <v>22450524</v>
      </c>
      <c r="O10" s="14" t="e">
        <f ca="1">[1]!terbilang(N10)</f>
        <v>#NAME?</v>
      </c>
      <c r="P10" s="19"/>
      <c r="Q10" s="116"/>
      <c r="R10" s="19"/>
      <c r="S10" s="19"/>
      <c r="T10" s="117"/>
      <c r="U10" s="19"/>
      <c r="V10" s="118"/>
      <c r="W10" s="19"/>
      <c r="X10" s="19"/>
      <c r="Y10" s="19"/>
      <c r="Z10" s="20"/>
      <c r="AA10" s="118"/>
      <c r="AB10" s="19"/>
      <c r="AC10" s="43"/>
      <c r="AD10" s="43" t="s">
        <v>736</v>
      </c>
      <c r="AE10" s="12">
        <v>5</v>
      </c>
      <c r="AF10" s="19" t="s">
        <v>70</v>
      </c>
      <c r="AG10" s="19">
        <v>2026</v>
      </c>
      <c r="AH10" s="20"/>
      <c r="AI10" s="20"/>
      <c r="AJ10" s="19"/>
      <c r="AK10" s="232"/>
      <c r="AL10" s="107" t="s">
        <v>738</v>
      </c>
      <c r="AM10" s="205" t="s">
        <v>739</v>
      </c>
      <c r="AN10" s="19" t="s">
        <v>81</v>
      </c>
      <c r="AO10" s="119" t="s">
        <v>62</v>
      </c>
      <c r="AP10" s="96" t="s">
        <v>63</v>
      </c>
      <c r="AQ10" s="97" t="s">
        <v>742</v>
      </c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K10" s="14"/>
    </row>
    <row r="11" spans="1:63" ht="97.5" customHeight="1" x14ac:dyDescent="0.25">
      <c r="B11" s="27" t="s">
        <v>694</v>
      </c>
      <c r="C11" s="14" t="s">
        <v>720</v>
      </c>
      <c r="D11" s="14" t="s">
        <v>68</v>
      </c>
      <c r="F11" s="18" t="s">
        <v>721</v>
      </c>
      <c r="G11" s="18" t="s">
        <v>58</v>
      </c>
      <c r="H11" s="19"/>
      <c r="N11" s="21">
        <v>17423663</v>
      </c>
      <c r="O11" s="14" t="e">
        <f ca="1">[1]!terbilang(N11)</f>
        <v>#NAME?</v>
      </c>
      <c r="P11" s="19"/>
      <c r="Q11" s="116"/>
      <c r="R11" s="19"/>
      <c r="S11" s="19"/>
      <c r="T11" s="117"/>
      <c r="U11" s="19"/>
      <c r="V11" s="118"/>
      <c r="W11" s="19"/>
      <c r="X11" s="19"/>
      <c r="Y11" s="19"/>
      <c r="Z11" s="20"/>
      <c r="AA11" s="118"/>
      <c r="AB11" s="19"/>
      <c r="AC11" s="43"/>
      <c r="AD11" s="43" t="s">
        <v>737</v>
      </c>
      <c r="AE11" s="12">
        <v>5</v>
      </c>
      <c r="AF11" s="19" t="s">
        <v>70</v>
      </c>
      <c r="AG11" s="19">
        <v>2026</v>
      </c>
      <c r="AH11" s="20"/>
      <c r="AI11" s="20"/>
      <c r="AJ11" s="19"/>
      <c r="AK11" s="232"/>
      <c r="AL11" s="107" t="s">
        <v>741</v>
      </c>
      <c r="AM11" s="205" t="s">
        <v>740</v>
      </c>
      <c r="AN11" s="22" t="s">
        <v>71</v>
      </c>
      <c r="AO11" s="95" t="s">
        <v>72</v>
      </c>
      <c r="AP11" s="96" t="s">
        <v>60</v>
      </c>
      <c r="AQ11" s="97" t="s">
        <v>743</v>
      </c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K11" s="14"/>
    </row>
    <row r="12" spans="1:63" s="15" customFormat="1" ht="97.5" customHeight="1" x14ac:dyDescent="0.25">
      <c r="A12" s="12"/>
      <c r="B12" s="27" t="s">
        <v>694</v>
      </c>
      <c r="C12" s="14" t="s">
        <v>720</v>
      </c>
      <c r="D12" s="14" t="s">
        <v>68</v>
      </c>
      <c r="E12" s="13" t="s">
        <v>744</v>
      </c>
      <c r="F12" s="18" t="s">
        <v>745</v>
      </c>
      <c r="G12" s="18" t="s">
        <v>58</v>
      </c>
      <c r="H12" s="12"/>
      <c r="I12" s="12"/>
      <c r="J12" s="36"/>
      <c r="K12" s="16"/>
      <c r="L12" s="16"/>
      <c r="M12" s="12"/>
      <c r="N12" s="17">
        <v>6979000</v>
      </c>
      <c r="O12" s="14" t="e">
        <f ca="1">[1]!terbilang(N12)</f>
        <v>#NAME?</v>
      </c>
      <c r="P12" s="12"/>
      <c r="Q12" s="207"/>
      <c r="R12" s="12"/>
      <c r="S12" s="12"/>
      <c r="T12" s="117"/>
      <c r="U12" s="12"/>
      <c r="V12" s="36"/>
      <c r="W12" s="12"/>
      <c r="X12" s="12"/>
      <c r="Y12" s="12"/>
      <c r="Z12" s="16"/>
      <c r="AA12" s="36"/>
      <c r="AB12" s="12"/>
      <c r="AC12" s="41"/>
      <c r="AD12" s="43" t="s">
        <v>746</v>
      </c>
      <c r="AE12" s="12">
        <v>6</v>
      </c>
      <c r="AF12" s="19" t="s">
        <v>70</v>
      </c>
      <c r="AG12" s="19">
        <v>2026</v>
      </c>
      <c r="AH12" s="16"/>
      <c r="AI12" s="16"/>
      <c r="AJ12" s="12"/>
      <c r="AK12" s="234"/>
      <c r="AL12" s="43" t="s">
        <v>749</v>
      </c>
      <c r="AM12" s="205" t="s">
        <v>747</v>
      </c>
      <c r="AN12" s="22" t="s">
        <v>71</v>
      </c>
      <c r="AO12" s="95" t="s">
        <v>72</v>
      </c>
      <c r="AP12" s="96" t="s">
        <v>60</v>
      </c>
      <c r="AQ12" s="97" t="s">
        <v>748</v>
      </c>
      <c r="AR12" s="70">
        <v>6804000</v>
      </c>
      <c r="AS12" s="70"/>
      <c r="AT12" s="70"/>
      <c r="AW12" s="71"/>
      <c r="AX12" s="72"/>
      <c r="BJ12" s="71"/>
      <c r="BK12" s="13"/>
    </row>
    <row r="13" spans="1:63" s="15" customFormat="1" ht="97.5" customHeight="1" x14ac:dyDescent="0.25">
      <c r="A13" s="12"/>
      <c r="B13" s="27" t="s">
        <v>694</v>
      </c>
      <c r="C13" s="14" t="s">
        <v>720</v>
      </c>
      <c r="D13" s="14" t="s">
        <v>68</v>
      </c>
      <c r="E13" s="13" t="s">
        <v>744</v>
      </c>
      <c r="F13" s="18" t="s">
        <v>745</v>
      </c>
      <c r="G13" s="18" t="s">
        <v>58</v>
      </c>
      <c r="H13" s="12"/>
      <c r="I13" s="12"/>
      <c r="J13" s="36"/>
      <c r="K13" s="16"/>
      <c r="L13" s="16"/>
      <c r="M13" s="12"/>
      <c r="N13" s="17">
        <v>6910556</v>
      </c>
      <c r="O13" s="14" t="e">
        <f ca="1">[1]!terbilang(N13)</f>
        <v>#NAME?</v>
      </c>
      <c r="P13" s="12"/>
      <c r="Q13" s="207"/>
      <c r="R13" s="12"/>
      <c r="S13" s="12"/>
      <c r="T13" s="117"/>
      <c r="U13" s="12"/>
      <c r="V13" s="36"/>
      <c r="W13" s="12"/>
      <c r="X13" s="12"/>
      <c r="Y13" s="12"/>
      <c r="Z13" s="16"/>
      <c r="AA13" s="36"/>
      <c r="AB13" s="12"/>
      <c r="AC13" s="41"/>
      <c r="AD13" s="43" t="s">
        <v>753</v>
      </c>
      <c r="AE13" s="12">
        <v>6</v>
      </c>
      <c r="AF13" s="19" t="s">
        <v>70</v>
      </c>
      <c r="AG13" s="19">
        <v>2026</v>
      </c>
      <c r="AH13" s="16"/>
      <c r="AI13" s="16"/>
      <c r="AJ13" s="12"/>
      <c r="AK13" s="234"/>
      <c r="AL13" s="43" t="s">
        <v>752</v>
      </c>
      <c r="AM13" s="205" t="s">
        <v>751</v>
      </c>
      <c r="AN13" s="22" t="s">
        <v>71</v>
      </c>
      <c r="AO13" s="95" t="s">
        <v>72</v>
      </c>
      <c r="AP13" s="96" t="s">
        <v>60</v>
      </c>
      <c r="AQ13" s="97" t="s">
        <v>750</v>
      </c>
      <c r="AR13" s="70">
        <v>6735556</v>
      </c>
      <c r="AS13" s="70"/>
      <c r="AT13" s="70"/>
      <c r="AW13" s="71"/>
      <c r="AX13" s="72"/>
      <c r="BJ13" s="71"/>
      <c r="BK13" s="13"/>
    </row>
    <row r="14" spans="1:63" s="15" customFormat="1" ht="97.5" customHeight="1" x14ac:dyDescent="0.25">
      <c r="A14" s="12"/>
      <c r="B14" s="27" t="s">
        <v>694</v>
      </c>
      <c r="C14" s="14" t="s">
        <v>720</v>
      </c>
      <c r="D14" s="14" t="s">
        <v>68</v>
      </c>
      <c r="E14" s="13" t="s">
        <v>744</v>
      </c>
      <c r="F14" s="18" t="s">
        <v>745</v>
      </c>
      <c r="G14" s="18" t="s">
        <v>58</v>
      </c>
      <c r="H14" s="12"/>
      <c r="I14" s="12"/>
      <c r="J14" s="36"/>
      <c r="K14" s="16"/>
      <c r="L14" s="16"/>
      <c r="M14" s="12"/>
      <c r="N14" s="17">
        <v>6928444</v>
      </c>
      <c r="O14" s="14" t="e">
        <f ca="1">[1]!terbilang(N14)</f>
        <v>#NAME?</v>
      </c>
      <c r="P14" s="12"/>
      <c r="Q14" s="207"/>
      <c r="R14" s="12"/>
      <c r="S14" s="12"/>
      <c r="T14" s="117"/>
      <c r="U14" s="12"/>
      <c r="V14" s="36"/>
      <c r="W14" s="12"/>
      <c r="X14" s="12"/>
      <c r="Y14" s="12"/>
      <c r="Z14" s="16"/>
      <c r="AA14" s="36"/>
      <c r="AB14" s="12"/>
      <c r="AC14" s="41"/>
      <c r="AD14" s="43" t="s">
        <v>754</v>
      </c>
      <c r="AE14" s="12">
        <v>6</v>
      </c>
      <c r="AF14" s="19" t="s">
        <v>70</v>
      </c>
      <c r="AG14" s="19">
        <v>2026</v>
      </c>
      <c r="AH14" s="16"/>
      <c r="AI14" s="16"/>
      <c r="AJ14" s="12"/>
      <c r="AK14" s="234"/>
      <c r="AL14" s="43" t="s">
        <v>755</v>
      </c>
      <c r="AM14" s="205" t="s">
        <v>756</v>
      </c>
      <c r="AN14" s="22" t="s">
        <v>71</v>
      </c>
      <c r="AO14" s="95" t="s">
        <v>72</v>
      </c>
      <c r="AP14" s="96" t="s">
        <v>60</v>
      </c>
      <c r="AQ14" s="97" t="s">
        <v>757</v>
      </c>
      <c r="AR14" s="70">
        <v>6753444</v>
      </c>
      <c r="AS14" s="70"/>
      <c r="AT14" s="70"/>
      <c r="AW14" s="71"/>
      <c r="AX14" s="72"/>
      <c r="BJ14" s="71"/>
      <c r="BK14" s="13"/>
    </row>
    <row r="15" spans="1:63" s="15" customFormat="1" ht="97.5" customHeight="1" x14ac:dyDescent="0.25">
      <c r="A15" s="12"/>
      <c r="B15" s="27" t="s">
        <v>694</v>
      </c>
      <c r="C15" s="14" t="s">
        <v>720</v>
      </c>
      <c r="D15" s="14" t="s">
        <v>68</v>
      </c>
      <c r="E15" s="13" t="s">
        <v>744</v>
      </c>
      <c r="F15" s="18" t="s">
        <v>745</v>
      </c>
      <c r="G15" s="18" t="s">
        <v>58</v>
      </c>
      <c r="H15" s="12"/>
      <c r="I15" s="12"/>
      <c r="J15" s="36"/>
      <c r="K15" s="16"/>
      <c r="L15" s="16"/>
      <c r="M15" s="12"/>
      <c r="N15" s="17">
        <v>6964222</v>
      </c>
      <c r="O15" s="14" t="e">
        <f ca="1">[1]!terbilang(N15)</f>
        <v>#NAME?</v>
      </c>
      <c r="P15" s="12"/>
      <c r="Q15" s="207"/>
      <c r="R15" s="12"/>
      <c r="S15" s="12"/>
      <c r="T15" s="117"/>
      <c r="U15" s="12"/>
      <c r="V15" s="36"/>
      <c r="W15" s="12"/>
      <c r="X15" s="12"/>
      <c r="Y15" s="12"/>
      <c r="Z15" s="16"/>
      <c r="AA15" s="36"/>
      <c r="AB15" s="12"/>
      <c r="AC15" s="41"/>
      <c r="AD15" s="43" t="s">
        <v>761</v>
      </c>
      <c r="AE15" s="12">
        <v>6</v>
      </c>
      <c r="AF15" s="19" t="s">
        <v>70</v>
      </c>
      <c r="AG15" s="19">
        <v>2026</v>
      </c>
      <c r="AH15" s="16"/>
      <c r="AI15" s="16"/>
      <c r="AJ15" s="12"/>
      <c r="AK15" s="234"/>
      <c r="AL15" s="43" t="s">
        <v>760</v>
      </c>
      <c r="AM15" s="205" t="s">
        <v>759</v>
      </c>
      <c r="AN15" s="22" t="s">
        <v>71</v>
      </c>
      <c r="AO15" s="95" t="s">
        <v>72</v>
      </c>
      <c r="AP15" s="96" t="s">
        <v>60</v>
      </c>
      <c r="AQ15" s="97" t="s">
        <v>758</v>
      </c>
      <c r="AR15" s="70">
        <v>6789222</v>
      </c>
      <c r="AS15" s="70"/>
      <c r="AT15" s="70"/>
      <c r="AW15" s="71"/>
      <c r="AX15" s="72"/>
      <c r="BJ15" s="71"/>
      <c r="BK15" s="13"/>
    </row>
    <row r="16" spans="1:63" s="15" customFormat="1" ht="97.5" customHeight="1" x14ac:dyDescent="0.25">
      <c r="A16" s="12"/>
      <c r="B16" s="27" t="s">
        <v>694</v>
      </c>
      <c r="C16" s="14" t="s">
        <v>720</v>
      </c>
      <c r="D16" s="14" t="s">
        <v>68</v>
      </c>
      <c r="E16" s="13" t="s">
        <v>744</v>
      </c>
      <c r="F16" s="18" t="s">
        <v>745</v>
      </c>
      <c r="G16" s="18" t="s">
        <v>58</v>
      </c>
      <c r="H16" s="12"/>
      <c r="I16" s="12"/>
      <c r="J16" s="36"/>
      <c r="K16" s="16"/>
      <c r="L16" s="16"/>
      <c r="M16" s="12"/>
      <c r="N16" s="17">
        <v>6947111</v>
      </c>
      <c r="O16" s="14" t="e">
        <f ca="1">[1]!terbilang(N16)</f>
        <v>#NAME?</v>
      </c>
      <c r="P16" s="12"/>
      <c r="Q16" s="207"/>
      <c r="R16" s="12"/>
      <c r="S16" s="12"/>
      <c r="T16" s="117"/>
      <c r="U16" s="12"/>
      <c r="V16" s="36"/>
      <c r="W16" s="12"/>
      <c r="X16" s="12"/>
      <c r="Y16" s="12"/>
      <c r="Z16" s="16"/>
      <c r="AA16" s="36"/>
      <c r="AB16" s="12"/>
      <c r="AC16" s="41"/>
      <c r="AD16" s="43" t="s">
        <v>762</v>
      </c>
      <c r="AE16" s="12">
        <v>6</v>
      </c>
      <c r="AF16" s="19" t="s">
        <v>70</v>
      </c>
      <c r="AG16" s="19">
        <v>2026</v>
      </c>
      <c r="AH16" s="16"/>
      <c r="AI16" s="16"/>
      <c r="AJ16" s="12"/>
      <c r="AK16" s="234"/>
      <c r="AL16" s="43" t="s">
        <v>764</v>
      </c>
      <c r="AM16" s="205" t="s">
        <v>763</v>
      </c>
      <c r="AN16" s="22" t="s">
        <v>71</v>
      </c>
      <c r="AO16" s="95" t="s">
        <v>72</v>
      </c>
      <c r="AP16" s="96" t="s">
        <v>60</v>
      </c>
      <c r="AQ16" s="97" t="s">
        <v>765</v>
      </c>
      <c r="AR16" s="70">
        <v>6772111</v>
      </c>
      <c r="AS16" s="70"/>
      <c r="AT16" s="70"/>
      <c r="AW16" s="71"/>
      <c r="AX16" s="72"/>
      <c r="BJ16" s="71"/>
      <c r="BK16" s="13"/>
    </row>
    <row r="17" spans="1:63" s="15" customFormat="1" ht="97.5" customHeight="1" x14ac:dyDescent="0.25">
      <c r="A17" s="12"/>
      <c r="B17" s="27" t="s">
        <v>694</v>
      </c>
      <c r="C17" s="14" t="s">
        <v>720</v>
      </c>
      <c r="D17" s="14" t="s">
        <v>68</v>
      </c>
      <c r="E17" s="13" t="s">
        <v>744</v>
      </c>
      <c r="F17" s="18" t="s">
        <v>745</v>
      </c>
      <c r="G17" s="18" t="s">
        <v>58</v>
      </c>
      <c r="H17" s="12"/>
      <c r="I17" s="12"/>
      <c r="J17" s="36"/>
      <c r="K17" s="16"/>
      <c r="L17" s="16"/>
      <c r="M17" s="12"/>
      <c r="N17" s="17">
        <v>6936222</v>
      </c>
      <c r="O17" s="14" t="e">
        <f ca="1">[1]!terbilang(N17)</f>
        <v>#NAME?</v>
      </c>
      <c r="P17" s="12"/>
      <c r="Q17" s="207"/>
      <c r="R17" s="12"/>
      <c r="S17" s="12"/>
      <c r="T17" s="117"/>
      <c r="U17" s="12"/>
      <c r="V17" s="36"/>
      <c r="W17" s="12"/>
      <c r="X17" s="12"/>
      <c r="Y17" s="12"/>
      <c r="Z17" s="16"/>
      <c r="AA17" s="36"/>
      <c r="AB17" s="12"/>
      <c r="AC17" s="41"/>
      <c r="AD17" s="43" t="s">
        <v>769</v>
      </c>
      <c r="AE17" s="12">
        <v>6</v>
      </c>
      <c r="AF17" s="19" t="s">
        <v>70</v>
      </c>
      <c r="AG17" s="19">
        <v>2026</v>
      </c>
      <c r="AH17" s="16"/>
      <c r="AI17" s="16"/>
      <c r="AJ17" s="12"/>
      <c r="AK17" s="234"/>
      <c r="AL17" s="43" t="s">
        <v>768</v>
      </c>
      <c r="AM17" s="205" t="s">
        <v>767</v>
      </c>
      <c r="AN17" s="22" t="s">
        <v>71</v>
      </c>
      <c r="AO17" s="95" t="s">
        <v>72</v>
      </c>
      <c r="AP17" s="96" t="s">
        <v>60</v>
      </c>
      <c r="AQ17" s="97" t="s">
        <v>766</v>
      </c>
      <c r="AR17" s="70">
        <v>6761222</v>
      </c>
      <c r="AS17" s="70"/>
      <c r="AT17" s="70"/>
      <c r="AW17" s="71"/>
      <c r="AX17" s="72"/>
      <c r="BJ17" s="71"/>
      <c r="BK17" s="13"/>
    </row>
    <row r="18" spans="1:63" s="15" customFormat="1" ht="97.5" customHeight="1" x14ac:dyDescent="0.25">
      <c r="A18" s="12"/>
      <c r="B18" s="27" t="s">
        <v>694</v>
      </c>
      <c r="C18" s="14" t="s">
        <v>720</v>
      </c>
      <c r="D18" s="14" t="s">
        <v>68</v>
      </c>
      <c r="E18" s="13" t="s">
        <v>744</v>
      </c>
      <c r="F18" s="18" t="s">
        <v>745</v>
      </c>
      <c r="G18" s="18" t="s">
        <v>58</v>
      </c>
      <c r="H18" s="12"/>
      <c r="I18" s="12"/>
      <c r="J18" s="36"/>
      <c r="K18" s="16"/>
      <c r="L18" s="16"/>
      <c r="M18" s="12"/>
      <c r="N18" s="17">
        <v>6970444</v>
      </c>
      <c r="O18" s="14" t="e">
        <f ca="1">[1]!terbilang(N18)</f>
        <v>#NAME?</v>
      </c>
      <c r="P18" s="12"/>
      <c r="Q18" s="207"/>
      <c r="R18" s="12"/>
      <c r="S18" s="12"/>
      <c r="T18" s="117"/>
      <c r="U18" s="12"/>
      <c r="V18" s="36"/>
      <c r="W18" s="12"/>
      <c r="X18" s="12"/>
      <c r="Y18" s="12"/>
      <c r="Z18" s="16"/>
      <c r="AA18" s="36"/>
      <c r="AB18" s="12"/>
      <c r="AC18" s="41"/>
      <c r="AD18" s="43" t="s">
        <v>770</v>
      </c>
      <c r="AE18" s="12">
        <v>6</v>
      </c>
      <c r="AF18" s="19" t="s">
        <v>70</v>
      </c>
      <c r="AG18" s="19">
        <v>2026</v>
      </c>
      <c r="AH18" s="16"/>
      <c r="AI18" s="16"/>
      <c r="AJ18" s="12"/>
      <c r="AK18" s="234"/>
      <c r="AL18" s="43" t="s">
        <v>771</v>
      </c>
      <c r="AM18" s="205" t="s">
        <v>772</v>
      </c>
      <c r="AN18" s="22" t="s">
        <v>71</v>
      </c>
      <c r="AO18" s="95" t="s">
        <v>72</v>
      </c>
      <c r="AP18" s="96" t="s">
        <v>60</v>
      </c>
      <c r="AQ18" s="97" t="s">
        <v>773</v>
      </c>
      <c r="AR18" s="70">
        <v>6795444</v>
      </c>
      <c r="AS18" s="70"/>
      <c r="AT18" s="70"/>
      <c r="AW18" s="71"/>
      <c r="AX18" s="72"/>
      <c r="BJ18" s="71"/>
      <c r="BK18" s="13"/>
    </row>
    <row r="19" spans="1:63" s="15" customFormat="1" ht="97.5" customHeight="1" x14ac:dyDescent="0.25">
      <c r="A19" s="12"/>
      <c r="B19" s="27" t="s">
        <v>694</v>
      </c>
      <c r="C19" s="14" t="s">
        <v>720</v>
      </c>
      <c r="D19" s="14" t="s">
        <v>68</v>
      </c>
      <c r="E19" s="13" t="s">
        <v>744</v>
      </c>
      <c r="F19" s="18" t="s">
        <v>745</v>
      </c>
      <c r="G19" s="18" t="s">
        <v>58</v>
      </c>
      <c r="H19" s="12"/>
      <c r="I19" s="12"/>
      <c r="J19" s="36"/>
      <c r="K19" s="16"/>
      <c r="L19" s="16"/>
      <c r="M19" s="12"/>
      <c r="N19" s="17">
        <v>6988333</v>
      </c>
      <c r="O19" s="14" t="e">
        <f ca="1">[1]!terbilang(N19)</f>
        <v>#NAME?</v>
      </c>
      <c r="P19" s="12"/>
      <c r="Q19" s="207"/>
      <c r="R19" s="12"/>
      <c r="S19" s="12"/>
      <c r="T19" s="117"/>
      <c r="U19" s="12"/>
      <c r="V19" s="36"/>
      <c r="W19" s="12"/>
      <c r="X19" s="12"/>
      <c r="Y19" s="12"/>
      <c r="Z19" s="16"/>
      <c r="AA19" s="36"/>
      <c r="AB19" s="12"/>
      <c r="AC19" s="41"/>
      <c r="AD19" s="43" t="s">
        <v>776</v>
      </c>
      <c r="AE19" s="12">
        <v>6</v>
      </c>
      <c r="AF19" s="19" t="s">
        <v>70</v>
      </c>
      <c r="AG19" s="19">
        <v>2026</v>
      </c>
      <c r="AH19" s="16"/>
      <c r="AI19" s="16"/>
      <c r="AJ19" s="12"/>
      <c r="AK19" s="234"/>
      <c r="AL19" s="43" t="s">
        <v>777</v>
      </c>
      <c r="AM19" s="205" t="s">
        <v>775</v>
      </c>
      <c r="AN19" s="22" t="s">
        <v>71</v>
      </c>
      <c r="AO19" s="95" t="s">
        <v>72</v>
      </c>
      <c r="AP19" s="96" t="s">
        <v>60</v>
      </c>
      <c r="AQ19" s="97" t="s">
        <v>774</v>
      </c>
      <c r="AR19" s="70">
        <v>6813333</v>
      </c>
      <c r="AS19" s="70"/>
      <c r="AT19" s="70"/>
      <c r="AW19" s="71"/>
      <c r="AX19" s="72"/>
      <c r="BJ19" s="71"/>
      <c r="BK19" s="13"/>
    </row>
    <row r="20" spans="1:63" s="15" customFormat="1" ht="97.5" customHeight="1" x14ac:dyDescent="0.25">
      <c r="A20" s="12"/>
      <c r="B20" s="27" t="s">
        <v>694</v>
      </c>
      <c r="C20" s="14" t="s">
        <v>77</v>
      </c>
      <c r="D20" s="14" t="s">
        <v>61</v>
      </c>
      <c r="E20" s="13" t="s">
        <v>78</v>
      </c>
      <c r="F20" s="18" t="s">
        <v>745</v>
      </c>
      <c r="G20" s="18" t="s">
        <v>58</v>
      </c>
      <c r="H20" s="12"/>
      <c r="I20" s="12"/>
      <c r="J20" s="36"/>
      <c r="K20" s="16"/>
      <c r="L20" s="16"/>
      <c r="M20" s="12"/>
      <c r="N20" s="17">
        <v>6858444</v>
      </c>
      <c r="O20" s="14" t="e">
        <f ca="1">[1]!terbilang(N20)</f>
        <v>#NAME?</v>
      </c>
      <c r="P20" s="12"/>
      <c r="Q20" s="207"/>
      <c r="R20" s="12"/>
      <c r="S20" s="12"/>
      <c r="T20" s="117"/>
      <c r="U20" s="12"/>
      <c r="V20" s="36"/>
      <c r="W20" s="12"/>
      <c r="X20" s="12"/>
      <c r="Y20" s="12"/>
      <c r="Z20" s="16"/>
      <c r="AA20" s="36"/>
      <c r="AB20" s="12"/>
      <c r="AC20" s="41"/>
      <c r="AD20" s="43" t="s">
        <v>781</v>
      </c>
      <c r="AE20" s="12">
        <v>6</v>
      </c>
      <c r="AF20" s="19" t="s">
        <v>70</v>
      </c>
      <c r="AG20" s="19">
        <v>2026</v>
      </c>
      <c r="AH20" s="16"/>
      <c r="AI20" s="16"/>
      <c r="AJ20" s="12"/>
      <c r="AK20" s="234"/>
      <c r="AL20" s="43" t="s">
        <v>780</v>
      </c>
      <c r="AM20" s="205" t="s">
        <v>779</v>
      </c>
      <c r="AN20" s="19" t="s">
        <v>81</v>
      </c>
      <c r="AO20" s="119" t="s">
        <v>62</v>
      </c>
      <c r="AP20" s="96" t="s">
        <v>63</v>
      </c>
      <c r="AQ20" s="97" t="s">
        <v>778</v>
      </c>
      <c r="AR20" s="70">
        <v>6683444</v>
      </c>
      <c r="AS20" s="70"/>
      <c r="AT20" s="70"/>
      <c r="AW20" s="71"/>
      <c r="AX20" s="72"/>
      <c r="BJ20" s="71"/>
      <c r="BK20" s="13"/>
    </row>
    <row r="21" spans="1:63" s="15" customFormat="1" ht="97.5" customHeight="1" x14ac:dyDescent="0.25">
      <c r="A21" s="12"/>
      <c r="B21" s="27" t="s">
        <v>694</v>
      </c>
      <c r="C21" s="14" t="s">
        <v>77</v>
      </c>
      <c r="D21" s="14" t="s">
        <v>61</v>
      </c>
      <c r="E21" s="13" t="s">
        <v>78</v>
      </c>
      <c r="F21" s="18" t="s">
        <v>745</v>
      </c>
      <c r="G21" s="18" t="s">
        <v>58</v>
      </c>
      <c r="H21" s="12"/>
      <c r="I21" s="12"/>
      <c r="J21" s="36"/>
      <c r="K21" s="16"/>
      <c r="L21" s="16"/>
      <c r="M21" s="12"/>
      <c r="N21" s="17">
        <v>6767444</v>
      </c>
      <c r="O21" s="14" t="e">
        <f ca="1">[1]!terbilang(N21)</f>
        <v>#NAME?</v>
      </c>
      <c r="P21" s="12"/>
      <c r="Q21" s="207"/>
      <c r="R21" s="12"/>
      <c r="S21" s="12"/>
      <c r="T21" s="117"/>
      <c r="U21" s="12"/>
      <c r="V21" s="36"/>
      <c r="W21" s="12"/>
      <c r="X21" s="12"/>
      <c r="Y21" s="12"/>
      <c r="Z21" s="16"/>
      <c r="AA21" s="36"/>
      <c r="AB21" s="12"/>
      <c r="AC21" s="41"/>
      <c r="AD21" s="43" t="s">
        <v>784</v>
      </c>
      <c r="AE21" s="12">
        <v>6</v>
      </c>
      <c r="AF21" s="19" t="s">
        <v>70</v>
      </c>
      <c r="AG21" s="19">
        <v>2026</v>
      </c>
      <c r="AH21" s="16"/>
      <c r="AI21" s="16"/>
      <c r="AJ21" s="12"/>
      <c r="AK21" s="234"/>
      <c r="AL21" s="43" t="s">
        <v>785</v>
      </c>
      <c r="AM21" s="205" t="s">
        <v>783</v>
      </c>
      <c r="AN21" s="19" t="s">
        <v>81</v>
      </c>
      <c r="AO21" s="119" t="s">
        <v>62</v>
      </c>
      <c r="AP21" s="96" t="s">
        <v>63</v>
      </c>
      <c r="AQ21" s="97" t="s">
        <v>782</v>
      </c>
      <c r="AR21" s="70">
        <v>6592444</v>
      </c>
      <c r="AS21" s="70"/>
      <c r="AT21" s="70"/>
      <c r="AW21" s="71"/>
      <c r="AX21" s="72"/>
      <c r="BJ21" s="71"/>
      <c r="BK21" s="13"/>
    </row>
    <row r="22" spans="1:63" s="15" customFormat="1" ht="97.5" customHeight="1" x14ac:dyDescent="0.25">
      <c r="A22" s="12"/>
      <c r="B22" s="27" t="s">
        <v>694</v>
      </c>
      <c r="C22" s="14" t="s">
        <v>720</v>
      </c>
      <c r="D22" s="14" t="s">
        <v>68</v>
      </c>
      <c r="E22" s="13" t="s">
        <v>786</v>
      </c>
      <c r="F22" s="18" t="s">
        <v>745</v>
      </c>
      <c r="G22" s="18" t="s">
        <v>58</v>
      </c>
      <c r="H22" s="12"/>
      <c r="I22" s="12"/>
      <c r="J22" s="36"/>
      <c r="K22" s="16"/>
      <c r="L22" s="16"/>
      <c r="M22" s="12"/>
      <c r="N22" s="17">
        <v>6993778</v>
      </c>
      <c r="O22" s="14" t="e">
        <f ca="1">[1]!terbilang(N22)</f>
        <v>#NAME?</v>
      </c>
      <c r="P22" s="12"/>
      <c r="Q22" s="207"/>
      <c r="R22" s="12"/>
      <c r="S22" s="12"/>
      <c r="T22" s="117"/>
      <c r="U22" s="12"/>
      <c r="V22" s="36"/>
      <c r="W22" s="12"/>
      <c r="X22" s="12"/>
      <c r="Y22" s="12"/>
      <c r="Z22" s="16"/>
      <c r="AA22" s="36"/>
      <c r="AB22" s="12"/>
      <c r="AC22" s="41"/>
      <c r="AD22" s="43" t="s">
        <v>787</v>
      </c>
      <c r="AE22" s="12">
        <v>6</v>
      </c>
      <c r="AF22" s="19" t="s">
        <v>70</v>
      </c>
      <c r="AG22" s="19">
        <v>2026</v>
      </c>
      <c r="AH22" s="16"/>
      <c r="AI22" s="16"/>
      <c r="AJ22" s="12"/>
      <c r="AK22" s="234"/>
      <c r="AL22" s="43" t="s">
        <v>789</v>
      </c>
      <c r="AM22" s="205" t="s">
        <v>788</v>
      </c>
      <c r="AN22" s="22" t="s">
        <v>73</v>
      </c>
      <c r="AO22" s="95" t="s">
        <v>74</v>
      </c>
      <c r="AP22" s="96" t="s">
        <v>66</v>
      </c>
      <c r="AQ22" s="97" t="s">
        <v>790</v>
      </c>
      <c r="AR22" s="70">
        <v>6818778</v>
      </c>
      <c r="AS22" s="70"/>
      <c r="AT22" s="70"/>
      <c r="AW22" s="71"/>
      <c r="AX22" s="72"/>
      <c r="BJ22" s="71"/>
      <c r="BK22" s="13"/>
    </row>
    <row r="23" spans="1:63" s="15" customFormat="1" ht="97.5" customHeight="1" x14ac:dyDescent="0.25">
      <c r="A23" s="12"/>
      <c r="B23" s="27" t="s">
        <v>694</v>
      </c>
      <c r="C23" s="14" t="s">
        <v>720</v>
      </c>
      <c r="D23" s="14" t="s">
        <v>68</v>
      </c>
      <c r="E23" s="13" t="s">
        <v>786</v>
      </c>
      <c r="F23" s="18" t="s">
        <v>745</v>
      </c>
      <c r="G23" s="18" t="s">
        <v>58</v>
      </c>
      <c r="H23" s="12"/>
      <c r="I23" s="12"/>
      <c r="J23" s="36"/>
      <c r="K23" s="16"/>
      <c r="L23" s="16"/>
      <c r="M23" s="12"/>
      <c r="N23" s="17">
        <v>6888778</v>
      </c>
      <c r="O23" s="14" t="e">
        <f ca="1">[1]!terbilang(N23)</f>
        <v>#NAME?</v>
      </c>
      <c r="P23" s="12"/>
      <c r="Q23" s="207"/>
      <c r="R23" s="12"/>
      <c r="S23" s="12"/>
      <c r="T23" s="117"/>
      <c r="U23" s="12"/>
      <c r="V23" s="36"/>
      <c r="W23" s="12"/>
      <c r="X23" s="12"/>
      <c r="Y23" s="12"/>
      <c r="Z23" s="16"/>
      <c r="AA23" s="36"/>
      <c r="AB23" s="12"/>
      <c r="AC23" s="41"/>
      <c r="AD23" s="43" t="s">
        <v>794</v>
      </c>
      <c r="AE23" s="12">
        <v>6</v>
      </c>
      <c r="AF23" s="19" t="s">
        <v>70</v>
      </c>
      <c r="AG23" s="19">
        <v>2026</v>
      </c>
      <c r="AH23" s="16"/>
      <c r="AI23" s="16"/>
      <c r="AJ23" s="12"/>
      <c r="AK23" s="234"/>
      <c r="AL23" s="43" t="s">
        <v>793</v>
      </c>
      <c r="AM23" s="205" t="s">
        <v>792</v>
      </c>
      <c r="AN23" s="22" t="s">
        <v>73</v>
      </c>
      <c r="AO23" s="95" t="s">
        <v>74</v>
      </c>
      <c r="AP23" s="96" t="s">
        <v>66</v>
      </c>
      <c r="AQ23" s="97" t="s">
        <v>791</v>
      </c>
      <c r="AR23" s="70">
        <v>6713778</v>
      </c>
      <c r="AS23" s="70"/>
      <c r="AT23" s="70"/>
      <c r="AW23" s="71"/>
      <c r="AX23" s="72"/>
      <c r="BJ23" s="71"/>
      <c r="BK23" s="13"/>
    </row>
    <row r="24" spans="1:63" s="15" customFormat="1" ht="97.5" customHeight="1" x14ac:dyDescent="0.25">
      <c r="A24" s="12"/>
      <c r="B24" s="27" t="s">
        <v>848</v>
      </c>
      <c r="C24" s="14" t="s">
        <v>77</v>
      </c>
      <c r="D24" s="14" t="s">
        <v>61</v>
      </c>
      <c r="E24" s="13" t="s">
        <v>795</v>
      </c>
      <c r="F24" s="18" t="s">
        <v>745</v>
      </c>
      <c r="G24" s="18" t="s">
        <v>58</v>
      </c>
      <c r="H24" s="12"/>
      <c r="I24" s="12"/>
      <c r="J24" s="36"/>
      <c r="K24" s="16"/>
      <c r="L24" s="16"/>
      <c r="M24" s="12"/>
      <c r="N24" s="17">
        <v>6289111</v>
      </c>
      <c r="O24" s="14" t="e">
        <f ca="1">[1]!terbilang(N24)</f>
        <v>#NAME?</v>
      </c>
      <c r="P24" s="12"/>
      <c r="Q24" s="207"/>
      <c r="R24" s="12"/>
      <c r="S24" s="12"/>
      <c r="T24" s="117"/>
      <c r="U24" s="12"/>
      <c r="V24" s="36"/>
      <c r="W24" s="12"/>
      <c r="X24" s="12"/>
      <c r="Y24" s="12"/>
      <c r="Z24" s="16"/>
      <c r="AA24" s="36"/>
      <c r="AB24" s="12"/>
      <c r="AC24" s="41"/>
      <c r="AD24" s="43" t="s">
        <v>796</v>
      </c>
      <c r="AE24" s="12">
        <v>6</v>
      </c>
      <c r="AF24" s="19" t="s">
        <v>70</v>
      </c>
      <c r="AG24" s="19">
        <v>2026</v>
      </c>
      <c r="AH24" s="16"/>
      <c r="AI24" s="16"/>
      <c r="AJ24" s="12"/>
      <c r="AK24" s="234"/>
      <c r="AL24" s="43" t="s">
        <v>802</v>
      </c>
      <c r="AM24" s="205" t="s">
        <v>798</v>
      </c>
      <c r="AN24" s="19" t="s">
        <v>797</v>
      </c>
      <c r="AO24" s="119" t="s">
        <v>799</v>
      </c>
      <c r="AP24" s="96" t="s">
        <v>800</v>
      </c>
      <c r="AQ24" s="97" t="s">
        <v>801</v>
      </c>
      <c r="AR24" s="70">
        <v>6114111</v>
      </c>
      <c r="AS24" s="70"/>
      <c r="AT24" s="70"/>
      <c r="AW24" s="71"/>
      <c r="AX24" s="72"/>
      <c r="BJ24" s="71"/>
      <c r="BK24" s="13"/>
    </row>
    <row r="25" spans="1:63" s="15" customFormat="1" ht="97.5" customHeight="1" x14ac:dyDescent="0.25">
      <c r="A25" s="12"/>
      <c r="B25" s="27" t="s">
        <v>848</v>
      </c>
      <c r="C25" s="14" t="s">
        <v>77</v>
      </c>
      <c r="D25" s="14" t="s">
        <v>61</v>
      </c>
      <c r="E25" s="13" t="s">
        <v>795</v>
      </c>
      <c r="F25" s="18" t="s">
        <v>745</v>
      </c>
      <c r="G25" s="18" t="s">
        <v>58</v>
      </c>
      <c r="H25" s="12"/>
      <c r="I25" s="12"/>
      <c r="J25" s="36"/>
      <c r="K25" s="16"/>
      <c r="L25" s="16"/>
      <c r="M25" s="12"/>
      <c r="N25" s="17">
        <v>7000000</v>
      </c>
      <c r="O25" s="14" t="e">
        <f ca="1">[1]!terbilang(N25)</f>
        <v>#NAME?</v>
      </c>
      <c r="P25" s="12"/>
      <c r="Q25" s="207"/>
      <c r="R25" s="12"/>
      <c r="S25" s="12"/>
      <c r="T25" s="117"/>
      <c r="U25" s="12"/>
      <c r="V25" s="36"/>
      <c r="W25" s="12"/>
      <c r="X25" s="12"/>
      <c r="Y25" s="12"/>
      <c r="Z25" s="16"/>
      <c r="AA25" s="36"/>
      <c r="AB25" s="12"/>
      <c r="AC25" s="41"/>
      <c r="AD25" s="43" t="s">
        <v>803</v>
      </c>
      <c r="AE25" s="12">
        <v>6</v>
      </c>
      <c r="AF25" s="19" t="s">
        <v>70</v>
      </c>
      <c r="AG25" s="19">
        <v>2026</v>
      </c>
      <c r="AH25" s="16"/>
      <c r="AI25" s="16"/>
      <c r="AJ25" s="12"/>
      <c r="AK25" s="234"/>
      <c r="AL25" s="43" t="s">
        <v>805</v>
      </c>
      <c r="AM25" s="205" t="s">
        <v>804</v>
      </c>
      <c r="AN25" s="19" t="s">
        <v>797</v>
      </c>
      <c r="AO25" s="119" t="s">
        <v>799</v>
      </c>
      <c r="AP25" s="96" t="s">
        <v>800</v>
      </c>
      <c r="AQ25" s="97" t="s">
        <v>806</v>
      </c>
      <c r="AR25" s="70">
        <v>6825000</v>
      </c>
      <c r="AS25" s="70"/>
      <c r="AT25" s="70"/>
      <c r="AW25" s="71"/>
      <c r="AX25" s="72"/>
      <c r="BJ25" s="71"/>
      <c r="BK25" s="13"/>
    </row>
    <row r="26" spans="1:63" s="15" customFormat="1" ht="97.5" customHeight="1" x14ac:dyDescent="0.25">
      <c r="A26" s="12"/>
      <c r="B26" s="27" t="s">
        <v>848</v>
      </c>
      <c r="C26" s="14" t="s">
        <v>77</v>
      </c>
      <c r="D26" s="14" t="s">
        <v>61</v>
      </c>
      <c r="E26" s="13" t="s">
        <v>795</v>
      </c>
      <c r="F26" s="18" t="s">
        <v>745</v>
      </c>
      <c r="G26" s="18" t="s">
        <v>58</v>
      </c>
      <c r="H26" s="12"/>
      <c r="I26" s="12"/>
      <c r="J26" s="36"/>
      <c r="K26" s="16"/>
      <c r="L26" s="16"/>
      <c r="M26" s="12"/>
      <c r="N26" s="17">
        <v>5701889</v>
      </c>
      <c r="O26" s="14" t="e">
        <f ca="1">[1]!terbilang(N26)</f>
        <v>#NAME?</v>
      </c>
      <c r="P26" s="12"/>
      <c r="Q26" s="207"/>
      <c r="R26" s="12"/>
      <c r="S26" s="12"/>
      <c r="T26" s="117"/>
      <c r="U26" s="12"/>
      <c r="V26" s="36"/>
      <c r="W26" s="12"/>
      <c r="X26" s="12"/>
      <c r="Y26" s="12"/>
      <c r="Z26" s="16"/>
      <c r="AA26" s="36"/>
      <c r="AB26" s="12"/>
      <c r="AC26" s="41"/>
      <c r="AD26" s="43" t="s">
        <v>807</v>
      </c>
      <c r="AE26" s="12">
        <v>6</v>
      </c>
      <c r="AF26" s="19" t="s">
        <v>70</v>
      </c>
      <c r="AG26" s="19">
        <v>2026</v>
      </c>
      <c r="AH26" s="16"/>
      <c r="AI26" s="16"/>
      <c r="AJ26" s="12"/>
      <c r="AK26" s="234"/>
      <c r="AL26" s="43" t="s">
        <v>810</v>
      </c>
      <c r="AM26" s="205" t="s">
        <v>808</v>
      </c>
      <c r="AN26" s="19" t="s">
        <v>797</v>
      </c>
      <c r="AO26" s="119" t="s">
        <v>799</v>
      </c>
      <c r="AP26" s="96" t="s">
        <v>800</v>
      </c>
      <c r="AQ26" s="97" t="s">
        <v>809</v>
      </c>
      <c r="AR26" s="70">
        <v>5526889</v>
      </c>
      <c r="AS26" s="70"/>
      <c r="AT26" s="70"/>
      <c r="AW26" s="71"/>
      <c r="AX26" s="72"/>
      <c r="BJ26" s="71"/>
      <c r="BK26" s="13"/>
    </row>
    <row r="27" spans="1:63" s="23" customFormat="1" ht="97.5" customHeight="1" x14ac:dyDescent="0.25">
      <c r="A27" s="22"/>
      <c r="B27" s="27" t="s">
        <v>694</v>
      </c>
      <c r="C27" s="11" t="s">
        <v>57</v>
      </c>
      <c r="D27" s="11" t="s">
        <v>59</v>
      </c>
      <c r="E27" s="11"/>
      <c r="F27" s="23" t="s">
        <v>811</v>
      </c>
      <c r="G27" s="23" t="s">
        <v>58</v>
      </c>
      <c r="H27" s="22"/>
      <c r="I27" s="22"/>
      <c r="J27" s="22"/>
      <c r="K27" s="24"/>
      <c r="L27" s="24"/>
      <c r="M27" s="22"/>
      <c r="N27" s="25">
        <v>1580372</v>
      </c>
      <c r="O27" s="14" t="e">
        <f ca="1">[1]!terbilang(N27)</f>
        <v>#NAME?</v>
      </c>
      <c r="P27" s="22"/>
      <c r="Q27" s="104"/>
      <c r="R27" s="22"/>
      <c r="S27" s="22"/>
      <c r="T27" s="105"/>
      <c r="U27" s="22"/>
      <c r="V27" s="106"/>
      <c r="W27" s="22"/>
      <c r="X27" s="22"/>
      <c r="Y27" s="22"/>
      <c r="Z27" s="24"/>
      <c r="AA27" s="106"/>
      <c r="AB27" s="22"/>
      <c r="AC27" s="107"/>
      <c r="AD27" s="43" t="s">
        <v>812</v>
      </c>
      <c r="AE27" s="12">
        <v>9</v>
      </c>
      <c r="AF27" s="19" t="s">
        <v>70</v>
      </c>
      <c r="AG27" s="19">
        <v>2026</v>
      </c>
      <c r="AH27" s="24"/>
      <c r="AI27" s="24"/>
      <c r="AJ27" s="22"/>
      <c r="AK27" s="231"/>
      <c r="AL27" s="107" t="s">
        <v>814</v>
      </c>
      <c r="AM27" s="205" t="s">
        <v>813</v>
      </c>
      <c r="AN27" s="22" t="s">
        <v>71</v>
      </c>
      <c r="AO27" s="95" t="s">
        <v>72</v>
      </c>
      <c r="AP27" s="96" t="s">
        <v>60</v>
      </c>
      <c r="AQ27" s="97" t="s">
        <v>815</v>
      </c>
      <c r="AR27" s="28"/>
      <c r="AS27" s="28"/>
      <c r="AT27" s="28"/>
      <c r="AW27" s="29"/>
      <c r="BJ27" s="29"/>
      <c r="BK27" s="11"/>
    </row>
    <row r="28" spans="1:63" ht="97.5" customHeight="1" x14ac:dyDescent="0.25">
      <c r="B28" s="27" t="s">
        <v>694</v>
      </c>
      <c r="C28" s="14" t="s">
        <v>77</v>
      </c>
      <c r="D28" s="14" t="s">
        <v>61</v>
      </c>
      <c r="F28" s="23" t="s">
        <v>811</v>
      </c>
      <c r="G28" s="18" t="s">
        <v>58</v>
      </c>
      <c r="H28" s="19"/>
      <c r="N28" s="21">
        <v>10926696</v>
      </c>
      <c r="O28" s="14" t="e">
        <f ca="1">[1]!terbilang(N28)</f>
        <v>#NAME?</v>
      </c>
      <c r="P28" s="19"/>
      <c r="Q28" s="116"/>
      <c r="R28" s="19"/>
      <c r="S28" s="19"/>
      <c r="T28" s="117"/>
      <c r="U28" s="19"/>
      <c r="V28" s="118"/>
      <c r="W28" s="19"/>
      <c r="X28" s="19"/>
      <c r="Y28" s="19"/>
      <c r="Z28" s="20"/>
      <c r="AA28" s="118"/>
      <c r="AB28" s="19"/>
      <c r="AC28" s="43"/>
      <c r="AD28" s="43" t="s">
        <v>816</v>
      </c>
      <c r="AE28" s="12">
        <v>9</v>
      </c>
      <c r="AF28" s="19" t="s">
        <v>70</v>
      </c>
      <c r="AG28" s="19">
        <v>2026</v>
      </c>
      <c r="AH28" s="20"/>
      <c r="AI28" s="20"/>
      <c r="AJ28" s="19" t="s">
        <v>65</v>
      </c>
      <c r="AK28" s="232"/>
      <c r="AL28" s="43" t="s">
        <v>817</v>
      </c>
      <c r="AM28" s="205" t="s">
        <v>818</v>
      </c>
      <c r="AN28" s="19" t="s">
        <v>81</v>
      </c>
      <c r="AO28" s="119" t="s">
        <v>62</v>
      </c>
      <c r="AP28" s="96" t="s">
        <v>63</v>
      </c>
      <c r="AQ28" s="97" t="s">
        <v>819</v>
      </c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K28" s="14"/>
    </row>
    <row r="29" spans="1:63" ht="97.5" customHeight="1" x14ac:dyDescent="0.25">
      <c r="B29" s="27" t="s">
        <v>694</v>
      </c>
      <c r="C29" s="14" t="s">
        <v>724</v>
      </c>
      <c r="D29" s="14" t="s">
        <v>64</v>
      </c>
      <c r="F29" s="23" t="s">
        <v>811</v>
      </c>
      <c r="G29" s="18" t="s">
        <v>58</v>
      </c>
      <c r="H29" s="19"/>
      <c r="N29" s="21">
        <v>116576</v>
      </c>
      <c r="O29" s="14" t="e">
        <f ca="1">[1]!terbilang(N29)</f>
        <v>#NAME?</v>
      </c>
      <c r="P29" s="19" t="s">
        <v>65</v>
      </c>
      <c r="Q29" s="116"/>
      <c r="R29" s="19"/>
      <c r="S29" s="19"/>
      <c r="T29" s="117"/>
      <c r="U29" s="19"/>
      <c r="V29" s="118"/>
      <c r="W29" s="19"/>
      <c r="X29" s="19"/>
      <c r="Y29" s="19"/>
      <c r="Z29" s="20"/>
      <c r="AA29" s="118"/>
      <c r="AB29" s="19"/>
      <c r="AC29" s="43"/>
      <c r="AD29" s="43" t="s">
        <v>820</v>
      </c>
      <c r="AE29" s="12">
        <v>9</v>
      </c>
      <c r="AF29" s="19" t="s">
        <v>70</v>
      </c>
      <c r="AG29" s="19">
        <v>2026</v>
      </c>
      <c r="AH29" s="20"/>
      <c r="AI29" s="20"/>
      <c r="AJ29" s="19"/>
      <c r="AK29" s="232" t="s">
        <v>65</v>
      </c>
      <c r="AL29" s="43" t="s">
        <v>828</v>
      </c>
      <c r="AM29" s="205" t="s">
        <v>825</v>
      </c>
      <c r="AN29" s="22" t="s">
        <v>73</v>
      </c>
      <c r="AO29" s="95" t="s">
        <v>74</v>
      </c>
      <c r="AP29" s="96" t="s">
        <v>66</v>
      </c>
      <c r="AQ29" s="97" t="s">
        <v>822</v>
      </c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K29" s="14"/>
    </row>
    <row r="30" spans="1:63" ht="97.5" customHeight="1" x14ac:dyDescent="0.25">
      <c r="B30" s="27" t="s">
        <v>694</v>
      </c>
      <c r="C30" s="14" t="s">
        <v>722</v>
      </c>
      <c r="D30" s="14" t="s">
        <v>67</v>
      </c>
      <c r="F30" s="23" t="s">
        <v>811</v>
      </c>
      <c r="G30" s="18" t="s">
        <v>58</v>
      </c>
      <c r="H30" s="19"/>
      <c r="N30" s="21">
        <v>1428056</v>
      </c>
      <c r="O30" s="14" t="e">
        <f ca="1">[1]!terbilang(N30)</f>
        <v>#NAME?</v>
      </c>
      <c r="P30" s="19"/>
      <c r="Q30" s="116"/>
      <c r="R30" s="19"/>
      <c r="S30" s="19"/>
      <c r="T30" s="117"/>
      <c r="U30" s="19"/>
      <c r="V30" s="118"/>
      <c r="W30" s="19"/>
      <c r="X30" s="19"/>
      <c r="Y30" s="19"/>
      <c r="Z30" s="20"/>
      <c r="AA30" s="118"/>
      <c r="AB30" s="19"/>
      <c r="AC30" s="43"/>
      <c r="AD30" s="43" t="s">
        <v>821</v>
      </c>
      <c r="AE30" s="12">
        <v>9</v>
      </c>
      <c r="AF30" s="19" t="s">
        <v>70</v>
      </c>
      <c r="AG30" s="19">
        <v>2026</v>
      </c>
      <c r="AH30" s="20"/>
      <c r="AI30" s="20"/>
      <c r="AJ30" s="19"/>
      <c r="AK30" s="232"/>
      <c r="AL30" s="43" t="s">
        <v>829</v>
      </c>
      <c r="AM30" s="205" t="s">
        <v>826</v>
      </c>
      <c r="AN30" s="19" t="s">
        <v>81</v>
      </c>
      <c r="AO30" s="119" t="s">
        <v>62</v>
      </c>
      <c r="AP30" s="96" t="s">
        <v>63</v>
      </c>
      <c r="AQ30" s="97" t="s">
        <v>823</v>
      </c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K30" s="14"/>
    </row>
    <row r="31" spans="1:63" ht="97.5" customHeight="1" x14ac:dyDescent="0.25">
      <c r="B31" s="27" t="s">
        <v>694</v>
      </c>
      <c r="C31" s="14" t="s">
        <v>720</v>
      </c>
      <c r="D31" s="14" t="s">
        <v>68</v>
      </c>
      <c r="F31" s="23" t="s">
        <v>811</v>
      </c>
      <c r="G31" s="18" t="s">
        <v>58</v>
      </c>
      <c r="H31" s="19"/>
      <c r="N31" s="21">
        <v>21579663</v>
      </c>
      <c r="O31" s="14" t="e">
        <f ca="1">[1]!terbilang(N31)</f>
        <v>#NAME?</v>
      </c>
      <c r="P31" s="19"/>
      <c r="Q31" s="116"/>
      <c r="R31" s="19"/>
      <c r="S31" s="19"/>
      <c r="T31" s="117"/>
      <c r="U31" s="19"/>
      <c r="V31" s="118"/>
      <c r="W31" s="19"/>
      <c r="X31" s="19"/>
      <c r="Y31" s="19"/>
      <c r="Z31" s="20"/>
      <c r="AA31" s="118"/>
      <c r="AB31" s="19"/>
      <c r="AC31" s="43"/>
      <c r="AD31" s="43" t="s">
        <v>831</v>
      </c>
      <c r="AE31" s="12">
        <v>9</v>
      </c>
      <c r="AF31" s="19" t="s">
        <v>70</v>
      </c>
      <c r="AG31" s="19">
        <v>2026</v>
      </c>
      <c r="AH31" s="20"/>
      <c r="AI31" s="20"/>
      <c r="AJ31" s="19"/>
      <c r="AK31" s="232"/>
      <c r="AL31" s="43" t="s">
        <v>830</v>
      </c>
      <c r="AM31" s="205" t="s">
        <v>827</v>
      </c>
      <c r="AN31" s="22" t="s">
        <v>71</v>
      </c>
      <c r="AO31" s="95" t="s">
        <v>72</v>
      </c>
      <c r="AP31" s="96" t="s">
        <v>60</v>
      </c>
      <c r="AQ31" s="97" t="s">
        <v>824</v>
      </c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K31" s="14"/>
    </row>
    <row r="32" spans="1:63" ht="97.5" customHeight="1" x14ac:dyDescent="0.25">
      <c r="B32" s="27" t="s">
        <v>694</v>
      </c>
      <c r="C32" s="14" t="s">
        <v>77</v>
      </c>
      <c r="D32" s="14" t="s">
        <v>61</v>
      </c>
      <c r="F32" s="23" t="s">
        <v>811</v>
      </c>
      <c r="G32" s="18" t="s">
        <v>58</v>
      </c>
      <c r="H32" s="19"/>
      <c r="N32" s="21">
        <v>4312548</v>
      </c>
      <c r="O32" s="14" t="e">
        <f ca="1">[1]!terbilang(N32)</f>
        <v>#NAME?</v>
      </c>
      <c r="P32" s="19"/>
      <c r="Q32" s="116"/>
      <c r="R32" s="19"/>
      <c r="S32" s="19"/>
      <c r="T32" s="117"/>
      <c r="U32" s="19"/>
      <c r="V32" s="118"/>
      <c r="W32" s="19"/>
      <c r="X32" s="19"/>
      <c r="Y32" s="19"/>
      <c r="Z32" s="20"/>
      <c r="AA32" s="118"/>
      <c r="AB32" s="19"/>
      <c r="AC32" s="43"/>
      <c r="AD32" s="43" t="s">
        <v>832</v>
      </c>
      <c r="AE32" s="12">
        <v>9</v>
      </c>
      <c r="AF32" s="19" t="s">
        <v>70</v>
      </c>
      <c r="AG32" s="19">
        <v>2026</v>
      </c>
      <c r="AH32" s="20"/>
      <c r="AI32" s="20"/>
      <c r="AJ32" s="19" t="s">
        <v>65</v>
      </c>
      <c r="AK32" s="232"/>
      <c r="AL32" s="107" t="s">
        <v>843</v>
      </c>
      <c r="AM32" s="205" t="s">
        <v>836</v>
      </c>
      <c r="AN32" s="19" t="s">
        <v>81</v>
      </c>
      <c r="AO32" s="119" t="s">
        <v>62</v>
      </c>
      <c r="AP32" s="96" t="s">
        <v>63</v>
      </c>
      <c r="AQ32" s="97" t="s">
        <v>839</v>
      </c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K32" s="14"/>
    </row>
    <row r="33" spans="1:63" ht="97.5" customHeight="1" x14ac:dyDescent="0.25">
      <c r="B33" s="27" t="s">
        <v>694</v>
      </c>
      <c r="C33" s="14" t="s">
        <v>722</v>
      </c>
      <c r="D33" s="14" t="s">
        <v>67</v>
      </c>
      <c r="F33" s="23" t="s">
        <v>811</v>
      </c>
      <c r="G33" s="18" t="s">
        <v>58</v>
      </c>
      <c r="H33" s="19"/>
      <c r="N33" s="21">
        <v>116576</v>
      </c>
      <c r="O33" s="14" t="e">
        <f ca="1">[1]!terbilang(N33)</f>
        <v>#NAME?</v>
      </c>
      <c r="P33" s="19"/>
      <c r="Q33" s="116"/>
      <c r="R33" s="19"/>
      <c r="S33" s="19"/>
      <c r="T33" s="117"/>
      <c r="U33" s="19"/>
      <c r="V33" s="118"/>
      <c r="W33" s="19"/>
      <c r="X33" s="19"/>
      <c r="Y33" s="19"/>
      <c r="Z33" s="20"/>
      <c r="AA33" s="118"/>
      <c r="AB33" s="19"/>
      <c r="AC33" s="43"/>
      <c r="AD33" s="43" t="s">
        <v>833</v>
      </c>
      <c r="AE33" s="12">
        <v>9</v>
      </c>
      <c r="AF33" s="19" t="s">
        <v>70</v>
      </c>
      <c r="AG33" s="19">
        <v>2026</v>
      </c>
      <c r="AH33" s="20"/>
      <c r="AI33" s="20"/>
      <c r="AJ33" s="19"/>
      <c r="AK33" s="232"/>
      <c r="AL33" s="107" t="s">
        <v>844</v>
      </c>
      <c r="AM33" s="205" t="s">
        <v>837</v>
      </c>
      <c r="AN33" s="19" t="s">
        <v>81</v>
      </c>
      <c r="AO33" s="119" t="s">
        <v>62</v>
      </c>
      <c r="AP33" s="96" t="s">
        <v>63</v>
      </c>
      <c r="AQ33" s="97" t="s">
        <v>840</v>
      </c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K33" s="14"/>
    </row>
    <row r="34" spans="1:63" ht="97.5" customHeight="1" x14ac:dyDescent="0.25">
      <c r="B34" s="27" t="s">
        <v>694</v>
      </c>
      <c r="C34" s="14" t="s">
        <v>720</v>
      </c>
      <c r="D34" s="14" t="s">
        <v>68</v>
      </c>
      <c r="F34" s="23" t="s">
        <v>811</v>
      </c>
      <c r="G34" s="18" t="s">
        <v>58</v>
      </c>
      <c r="H34" s="19"/>
      <c r="N34" s="21">
        <v>90472</v>
      </c>
      <c r="O34" s="14" t="e">
        <f ca="1">[1]!terbilang(N34)</f>
        <v>#NAME?</v>
      </c>
      <c r="P34" s="19"/>
      <c r="Q34" s="116"/>
      <c r="R34" s="19"/>
      <c r="S34" s="19"/>
      <c r="T34" s="117"/>
      <c r="U34" s="19"/>
      <c r="V34" s="118"/>
      <c r="W34" s="19"/>
      <c r="X34" s="19"/>
      <c r="Y34" s="19"/>
      <c r="Z34" s="20"/>
      <c r="AA34" s="118"/>
      <c r="AB34" s="19"/>
      <c r="AC34" s="43"/>
      <c r="AD34" s="43" t="s">
        <v>834</v>
      </c>
      <c r="AE34" s="12">
        <v>9</v>
      </c>
      <c r="AF34" s="19" t="s">
        <v>70</v>
      </c>
      <c r="AG34" s="19">
        <v>2026</v>
      </c>
      <c r="AH34" s="20"/>
      <c r="AI34" s="20"/>
      <c r="AJ34" s="19"/>
      <c r="AK34" s="232"/>
      <c r="AL34" s="107" t="s">
        <v>845</v>
      </c>
      <c r="AM34" s="205" t="s">
        <v>838</v>
      </c>
      <c r="AN34" s="22" t="s">
        <v>71</v>
      </c>
      <c r="AO34" s="95" t="s">
        <v>72</v>
      </c>
      <c r="AP34" s="96" t="s">
        <v>60</v>
      </c>
      <c r="AQ34" s="97" t="s">
        <v>841</v>
      </c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K34" s="14"/>
    </row>
    <row r="35" spans="1:63" s="23" customFormat="1" ht="97.5" customHeight="1" x14ac:dyDescent="0.25">
      <c r="A35" s="22"/>
      <c r="B35" s="27" t="s">
        <v>694</v>
      </c>
      <c r="C35" s="11" t="s">
        <v>57</v>
      </c>
      <c r="D35" s="11" t="s">
        <v>59</v>
      </c>
      <c r="E35" s="11"/>
      <c r="F35" s="23" t="s">
        <v>811</v>
      </c>
      <c r="G35" s="23" t="s">
        <v>58</v>
      </c>
      <c r="H35" s="22"/>
      <c r="I35" s="22"/>
      <c r="J35" s="22"/>
      <c r="K35" s="24"/>
      <c r="L35" s="24"/>
      <c r="M35" s="22"/>
      <c r="N35" s="25">
        <v>36787</v>
      </c>
      <c r="O35" s="14" t="e">
        <f ca="1">[1]!terbilang(N35)</f>
        <v>#NAME?</v>
      </c>
      <c r="P35" s="22"/>
      <c r="Q35" s="104"/>
      <c r="R35" s="22"/>
      <c r="S35" s="22"/>
      <c r="T35" s="105"/>
      <c r="U35" s="22"/>
      <c r="V35" s="106"/>
      <c r="W35" s="22"/>
      <c r="X35" s="22"/>
      <c r="Y35" s="22"/>
      <c r="Z35" s="24"/>
      <c r="AA35" s="106"/>
      <c r="AB35" s="22"/>
      <c r="AC35" s="107"/>
      <c r="AD35" s="43" t="s">
        <v>847</v>
      </c>
      <c r="AE35" s="12">
        <v>9</v>
      </c>
      <c r="AF35" s="19" t="s">
        <v>70</v>
      </c>
      <c r="AG35" s="19">
        <v>2026</v>
      </c>
      <c r="AH35" s="24"/>
      <c r="AI35" s="24"/>
      <c r="AJ35" s="22"/>
      <c r="AK35" s="231"/>
      <c r="AL35" s="107" t="s">
        <v>842</v>
      </c>
      <c r="AM35" s="205" t="s">
        <v>835</v>
      </c>
      <c r="AN35" s="22" t="s">
        <v>71</v>
      </c>
      <c r="AO35" s="95" t="s">
        <v>72</v>
      </c>
      <c r="AP35" s="96" t="s">
        <v>60</v>
      </c>
      <c r="AQ35" s="97" t="s">
        <v>846</v>
      </c>
      <c r="AR35" s="28"/>
      <c r="AS35" s="28"/>
      <c r="AT35" s="28"/>
      <c r="AW35" s="29"/>
      <c r="BJ35" s="29"/>
      <c r="BK35" s="11"/>
    </row>
    <row r="36" spans="1:63" ht="97.5" customHeight="1" x14ac:dyDescent="0.25">
      <c r="A36" s="12"/>
      <c r="B36" s="27" t="s">
        <v>694</v>
      </c>
      <c r="C36" s="13"/>
      <c r="D36" s="13"/>
      <c r="E36" s="13"/>
      <c r="F36" s="15"/>
      <c r="G36" s="15" t="s">
        <v>58</v>
      </c>
      <c r="I36" s="12"/>
      <c r="J36" s="12"/>
      <c r="K36" s="16"/>
      <c r="L36" s="16"/>
      <c r="M36" s="12"/>
      <c r="N36" s="17">
        <v>193821600</v>
      </c>
      <c r="O36" s="14" t="e">
        <f ca="1">[1]!terbilang(N36)</f>
        <v>#NAME?</v>
      </c>
      <c r="Q36" s="207"/>
      <c r="T36" s="208"/>
      <c r="V36" s="36"/>
      <c r="AD36" s="43" t="s">
        <v>849</v>
      </c>
      <c r="AE36" s="12">
        <v>25</v>
      </c>
      <c r="AF36" s="19" t="s">
        <v>70</v>
      </c>
      <c r="AG36" s="19">
        <v>2026</v>
      </c>
      <c r="AL36" s="41" t="s">
        <v>850</v>
      </c>
      <c r="AM36" s="210" t="s">
        <v>851</v>
      </c>
      <c r="AN36" s="12"/>
      <c r="AO36" s="12"/>
      <c r="AP36" s="211"/>
      <c r="AQ36" s="97" t="s">
        <v>852</v>
      </c>
    </row>
    <row r="37" spans="1:63" s="23" customFormat="1" ht="97.5" customHeight="1" x14ac:dyDescent="0.25">
      <c r="A37" s="22"/>
      <c r="B37" s="27" t="s">
        <v>848</v>
      </c>
      <c r="C37" s="11" t="s">
        <v>57</v>
      </c>
      <c r="D37" s="11" t="s">
        <v>59</v>
      </c>
      <c r="E37" s="11"/>
      <c r="F37" s="23" t="s">
        <v>725</v>
      </c>
      <c r="G37" s="23" t="s">
        <v>58</v>
      </c>
      <c r="H37" s="22"/>
      <c r="I37" s="22"/>
      <c r="J37" s="22"/>
      <c r="K37" s="24"/>
      <c r="L37" s="24"/>
      <c r="M37" s="22"/>
      <c r="N37" s="25">
        <v>294809025</v>
      </c>
      <c r="O37" s="14" t="e">
        <f ca="1">[1]!terbilang(N37)</f>
        <v>#NAME?</v>
      </c>
      <c r="P37" s="22"/>
      <c r="Q37" s="104"/>
      <c r="R37" s="22"/>
      <c r="S37" s="22"/>
      <c r="T37" s="105"/>
      <c r="U37" s="22"/>
      <c r="V37" s="106"/>
      <c r="W37" s="22"/>
      <c r="X37" s="22"/>
      <c r="Y37" s="22"/>
      <c r="Z37" s="24"/>
      <c r="AA37" s="106"/>
      <c r="AB37" s="22"/>
      <c r="AC37" s="107"/>
      <c r="AD37" s="43" t="s">
        <v>864</v>
      </c>
      <c r="AE37" s="12">
        <v>2</v>
      </c>
      <c r="AF37" s="19" t="s">
        <v>75</v>
      </c>
      <c r="AG37" s="19">
        <v>2026</v>
      </c>
      <c r="AH37" s="24"/>
      <c r="AI37" s="24"/>
      <c r="AJ37" s="22"/>
      <c r="AK37" s="231"/>
      <c r="AL37" s="107" t="s">
        <v>860</v>
      </c>
      <c r="AM37" s="205" t="s">
        <v>858</v>
      </c>
      <c r="AN37" s="22" t="s">
        <v>71</v>
      </c>
      <c r="AO37" s="95" t="s">
        <v>72</v>
      </c>
      <c r="AP37" s="96" t="s">
        <v>60</v>
      </c>
      <c r="AQ37" s="97" t="s">
        <v>853</v>
      </c>
      <c r="AR37" s="28"/>
      <c r="AS37" s="28"/>
      <c r="AT37" s="28"/>
      <c r="AW37" s="29"/>
      <c r="BJ37" s="29"/>
      <c r="BK37" s="11"/>
    </row>
    <row r="38" spans="1:63" ht="97.5" customHeight="1" x14ac:dyDescent="0.25">
      <c r="B38" s="27" t="s">
        <v>848</v>
      </c>
      <c r="C38" s="14" t="s">
        <v>77</v>
      </c>
      <c r="D38" s="14" t="s">
        <v>61</v>
      </c>
      <c r="F38" s="18" t="s">
        <v>719</v>
      </c>
      <c r="G38" s="18" t="s">
        <v>58</v>
      </c>
      <c r="H38" s="19"/>
      <c r="N38" s="21">
        <v>2092642340</v>
      </c>
      <c r="O38" s="14" t="e">
        <f ca="1">[1]!terbilang(N38)</f>
        <v>#NAME?</v>
      </c>
      <c r="P38" s="19"/>
      <c r="Q38" s="116"/>
      <c r="R38" s="19"/>
      <c r="S38" s="19"/>
      <c r="T38" s="117"/>
      <c r="U38" s="19"/>
      <c r="V38" s="118"/>
      <c r="W38" s="19"/>
      <c r="X38" s="19"/>
      <c r="Y38" s="19"/>
      <c r="Z38" s="20"/>
      <c r="AA38" s="118"/>
      <c r="AB38" s="19"/>
      <c r="AC38" s="43"/>
      <c r="AD38" s="43" t="s">
        <v>865</v>
      </c>
      <c r="AE38" s="12">
        <v>2</v>
      </c>
      <c r="AF38" s="19" t="s">
        <v>75</v>
      </c>
      <c r="AG38" s="19">
        <v>2026</v>
      </c>
      <c r="AH38" s="20"/>
      <c r="AI38" s="20"/>
      <c r="AJ38" s="19" t="s">
        <v>65</v>
      </c>
      <c r="AK38" s="232"/>
      <c r="AL38" s="43" t="s">
        <v>861</v>
      </c>
      <c r="AM38" s="206" t="s">
        <v>859</v>
      </c>
      <c r="AN38" s="19" t="s">
        <v>81</v>
      </c>
      <c r="AO38" s="119" t="s">
        <v>62</v>
      </c>
      <c r="AP38" s="96" t="s">
        <v>63</v>
      </c>
      <c r="AQ38" s="97" t="s">
        <v>854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K38" s="14"/>
    </row>
    <row r="39" spans="1:63" ht="97.5" customHeight="1" x14ac:dyDescent="0.25">
      <c r="B39" s="27" t="s">
        <v>848</v>
      </c>
      <c r="C39" s="14" t="s">
        <v>724</v>
      </c>
      <c r="D39" s="14" t="s">
        <v>64</v>
      </c>
      <c r="F39" s="18" t="s">
        <v>723</v>
      </c>
      <c r="G39" s="18" t="s">
        <v>58</v>
      </c>
      <c r="H39" s="19"/>
      <c r="N39" s="21">
        <v>22450524</v>
      </c>
      <c r="O39" s="14" t="e">
        <f ca="1">[1]!terbilang(N39)</f>
        <v>#NAME?</v>
      </c>
      <c r="P39" s="19" t="s">
        <v>65</v>
      </c>
      <c r="Q39" s="116"/>
      <c r="R39" s="19"/>
      <c r="S39" s="19"/>
      <c r="T39" s="117"/>
      <c r="U39" s="19"/>
      <c r="V39" s="118"/>
      <c r="W39" s="19"/>
      <c r="X39" s="19"/>
      <c r="Y39" s="19"/>
      <c r="Z39" s="20"/>
      <c r="AA39" s="118"/>
      <c r="AB39" s="19"/>
      <c r="AC39" s="43"/>
      <c r="AD39" s="43" t="s">
        <v>866</v>
      </c>
      <c r="AE39" s="12">
        <v>2</v>
      </c>
      <c r="AF39" s="19" t="s">
        <v>75</v>
      </c>
      <c r="AG39" s="19">
        <v>2026</v>
      </c>
      <c r="AH39" s="20"/>
      <c r="AI39" s="20"/>
      <c r="AJ39" s="19"/>
      <c r="AK39" s="232" t="s">
        <v>65</v>
      </c>
      <c r="AL39" s="43" t="s">
        <v>862</v>
      </c>
      <c r="AM39" s="206" t="s">
        <v>872</v>
      </c>
      <c r="AN39" s="22" t="s">
        <v>73</v>
      </c>
      <c r="AO39" s="95" t="s">
        <v>74</v>
      </c>
      <c r="AP39" s="96" t="s">
        <v>66</v>
      </c>
      <c r="AQ39" s="97" t="s">
        <v>855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K39" s="14"/>
    </row>
    <row r="40" spans="1:63" ht="97.5" customHeight="1" x14ac:dyDescent="0.25">
      <c r="B40" s="27" t="s">
        <v>848</v>
      </c>
      <c r="C40" s="14" t="s">
        <v>722</v>
      </c>
      <c r="D40" s="14" t="s">
        <v>67</v>
      </c>
      <c r="F40" s="18" t="s">
        <v>723</v>
      </c>
      <c r="G40" s="18" t="s">
        <v>58</v>
      </c>
      <c r="H40" s="19"/>
      <c r="N40" s="21">
        <v>269515721</v>
      </c>
      <c r="O40" s="14" t="e">
        <f ca="1">[1]!terbilang(N40)</f>
        <v>#NAME?</v>
      </c>
      <c r="P40" s="19"/>
      <c r="Q40" s="116"/>
      <c r="R40" s="19"/>
      <c r="S40" s="19"/>
      <c r="T40" s="117"/>
      <c r="U40" s="19"/>
      <c r="V40" s="118"/>
      <c r="W40" s="19"/>
      <c r="X40" s="19"/>
      <c r="Y40" s="19"/>
      <c r="Z40" s="20"/>
      <c r="AA40" s="118"/>
      <c r="AB40" s="19"/>
      <c r="AC40" s="43"/>
      <c r="AD40" s="43" t="s">
        <v>867</v>
      </c>
      <c r="AE40" s="12">
        <v>2</v>
      </c>
      <c r="AF40" s="19" t="s">
        <v>75</v>
      </c>
      <c r="AG40" s="19">
        <v>2026</v>
      </c>
      <c r="AH40" s="20"/>
      <c r="AI40" s="20"/>
      <c r="AJ40" s="19"/>
      <c r="AK40" s="232"/>
      <c r="AL40" s="43" t="s">
        <v>863</v>
      </c>
      <c r="AM40" s="206" t="s">
        <v>871</v>
      </c>
      <c r="AN40" s="19" t="s">
        <v>81</v>
      </c>
      <c r="AO40" s="119" t="s">
        <v>62</v>
      </c>
      <c r="AP40" s="96" t="s">
        <v>63</v>
      </c>
      <c r="AQ40" s="97" t="s">
        <v>856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K40" s="14"/>
    </row>
    <row r="41" spans="1:63" ht="97.5" customHeight="1" x14ac:dyDescent="0.25">
      <c r="B41" s="27" t="s">
        <v>848</v>
      </c>
      <c r="C41" s="14" t="s">
        <v>720</v>
      </c>
      <c r="D41" s="14" t="s">
        <v>68</v>
      </c>
      <c r="F41" s="18" t="s">
        <v>721</v>
      </c>
      <c r="G41" s="18" t="s">
        <v>58</v>
      </c>
      <c r="H41" s="19"/>
      <c r="N41" s="21">
        <v>4086868079</v>
      </c>
      <c r="O41" s="14" t="e">
        <f ca="1">[1]!terbilang(N41)</f>
        <v>#NAME?</v>
      </c>
      <c r="P41" s="19"/>
      <c r="Q41" s="116"/>
      <c r="R41" s="19"/>
      <c r="S41" s="19"/>
      <c r="T41" s="117"/>
      <c r="U41" s="19"/>
      <c r="V41" s="118"/>
      <c r="W41" s="19"/>
      <c r="X41" s="19"/>
      <c r="Y41" s="19"/>
      <c r="Z41" s="20"/>
      <c r="AA41" s="118"/>
      <c r="AB41" s="19"/>
      <c r="AC41" s="43"/>
      <c r="AD41" s="43" t="s">
        <v>868</v>
      </c>
      <c r="AE41" s="12">
        <v>2</v>
      </c>
      <c r="AF41" s="19" t="s">
        <v>75</v>
      </c>
      <c r="AG41" s="19">
        <v>2026</v>
      </c>
      <c r="AH41" s="20"/>
      <c r="AI41" s="20"/>
      <c r="AJ41" s="19"/>
      <c r="AK41" s="232"/>
      <c r="AL41" s="43" t="s">
        <v>869</v>
      </c>
      <c r="AM41" s="206" t="s">
        <v>870</v>
      </c>
      <c r="AN41" s="22" t="s">
        <v>71</v>
      </c>
      <c r="AO41" s="95" t="s">
        <v>72</v>
      </c>
      <c r="AP41" s="96" t="s">
        <v>60</v>
      </c>
      <c r="AQ41" s="97" t="s">
        <v>857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K41" s="14"/>
    </row>
    <row r="42" spans="1:63" s="23" customFormat="1" ht="97.5" customHeight="1" x14ac:dyDescent="0.25">
      <c r="A42" s="22"/>
      <c r="B42" s="27" t="s">
        <v>694</v>
      </c>
      <c r="C42" s="11" t="s">
        <v>57</v>
      </c>
      <c r="D42" s="11" t="s">
        <v>59</v>
      </c>
      <c r="E42" s="11"/>
      <c r="F42" s="23" t="s">
        <v>726</v>
      </c>
      <c r="G42" s="23" t="s">
        <v>58</v>
      </c>
      <c r="H42" s="22"/>
      <c r="I42" s="22"/>
      <c r="J42" s="22"/>
      <c r="K42" s="24"/>
      <c r="L42" s="24"/>
      <c r="M42" s="22"/>
      <c r="N42" s="25">
        <v>7084818</v>
      </c>
      <c r="O42" s="14" t="e">
        <f ca="1">[1]!terbilang(N42)</f>
        <v>#NAME?</v>
      </c>
      <c r="P42" s="22"/>
      <c r="Q42" s="104"/>
      <c r="R42" s="22"/>
      <c r="S42" s="22"/>
      <c r="T42" s="105"/>
      <c r="U42" s="22"/>
      <c r="V42" s="106"/>
      <c r="W42" s="22"/>
      <c r="X42" s="22"/>
      <c r="Y42" s="22"/>
      <c r="Z42" s="24"/>
      <c r="AA42" s="106"/>
      <c r="AB42" s="22"/>
      <c r="AC42" s="107"/>
      <c r="AD42" s="43" t="s">
        <v>873</v>
      </c>
      <c r="AE42" s="12">
        <v>4</v>
      </c>
      <c r="AF42" s="19" t="s">
        <v>75</v>
      </c>
      <c r="AG42" s="19">
        <v>2026</v>
      </c>
      <c r="AH42" s="24"/>
      <c r="AI42" s="24"/>
      <c r="AJ42" s="22"/>
      <c r="AK42" s="231"/>
      <c r="AL42" s="107" t="s">
        <v>877</v>
      </c>
      <c r="AM42" s="205" t="s">
        <v>881</v>
      </c>
      <c r="AN42" s="22" t="s">
        <v>71</v>
      </c>
      <c r="AO42" s="95" t="s">
        <v>72</v>
      </c>
      <c r="AP42" s="96" t="s">
        <v>60</v>
      </c>
      <c r="AQ42" s="97" t="s">
        <v>885</v>
      </c>
      <c r="AR42" s="28"/>
      <c r="AS42" s="28"/>
      <c r="AT42" s="28"/>
      <c r="AW42" s="29"/>
      <c r="BJ42" s="29"/>
      <c r="BK42" s="11"/>
    </row>
    <row r="43" spans="1:63" ht="97.5" customHeight="1" x14ac:dyDescent="0.25">
      <c r="B43" s="27" t="s">
        <v>694</v>
      </c>
      <c r="C43" s="14" t="s">
        <v>77</v>
      </c>
      <c r="D43" s="14" t="s">
        <v>61</v>
      </c>
      <c r="F43" s="23" t="s">
        <v>731</v>
      </c>
      <c r="G43" s="18" t="s">
        <v>58</v>
      </c>
      <c r="H43" s="19"/>
      <c r="N43" s="21">
        <v>830526840</v>
      </c>
      <c r="O43" s="14" t="e">
        <f ca="1">[1]!terbilang(N43)</f>
        <v>#NAME?</v>
      </c>
      <c r="P43" s="19"/>
      <c r="Q43" s="116"/>
      <c r="R43" s="19"/>
      <c r="S43" s="19"/>
      <c r="T43" s="117"/>
      <c r="U43" s="19"/>
      <c r="V43" s="118"/>
      <c r="W43" s="19"/>
      <c r="X43" s="19"/>
      <c r="Y43" s="19"/>
      <c r="Z43" s="20"/>
      <c r="AA43" s="118"/>
      <c r="AB43" s="19"/>
      <c r="AC43" s="43"/>
      <c r="AD43" s="43" t="s">
        <v>874</v>
      </c>
      <c r="AE43" s="12">
        <v>4</v>
      </c>
      <c r="AF43" s="19" t="s">
        <v>75</v>
      </c>
      <c r="AG43" s="19">
        <v>2026</v>
      </c>
      <c r="AH43" s="20"/>
      <c r="AI43" s="20"/>
      <c r="AJ43" s="19" t="s">
        <v>65</v>
      </c>
      <c r="AK43" s="232"/>
      <c r="AL43" s="107" t="s">
        <v>878</v>
      </c>
      <c r="AM43" s="205" t="s">
        <v>882</v>
      </c>
      <c r="AN43" s="19" t="s">
        <v>81</v>
      </c>
      <c r="AO43" s="119" t="s">
        <v>62</v>
      </c>
      <c r="AP43" s="96" t="s">
        <v>63</v>
      </c>
      <c r="AQ43" s="97" t="s">
        <v>886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K43" s="14"/>
    </row>
    <row r="44" spans="1:63" ht="97.5" customHeight="1" x14ac:dyDescent="0.25">
      <c r="B44" s="27" t="s">
        <v>694</v>
      </c>
      <c r="C44" s="14" t="s">
        <v>722</v>
      </c>
      <c r="D44" s="14" t="s">
        <v>67</v>
      </c>
      <c r="F44" s="23" t="s">
        <v>726</v>
      </c>
      <c r="G44" s="18" t="s">
        <v>58</v>
      </c>
      <c r="H44" s="19"/>
      <c r="N44" s="21">
        <v>22450524</v>
      </c>
      <c r="O44" s="14" t="e">
        <f ca="1">[1]!terbilang(N44)</f>
        <v>#NAME?</v>
      </c>
      <c r="P44" s="19"/>
      <c r="Q44" s="116"/>
      <c r="R44" s="19"/>
      <c r="S44" s="19"/>
      <c r="T44" s="117"/>
      <c r="U44" s="19"/>
      <c r="V44" s="118"/>
      <c r="W44" s="19"/>
      <c r="X44" s="19"/>
      <c r="Y44" s="19"/>
      <c r="Z44" s="20"/>
      <c r="AA44" s="118"/>
      <c r="AB44" s="19"/>
      <c r="AC44" s="43"/>
      <c r="AD44" s="43" t="s">
        <v>875</v>
      </c>
      <c r="AE44" s="12">
        <v>4</v>
      </c>
      <c r="AF44" s="19" t="s">
        <v>75</v>
      </c>
      <c r="AG44" s="19">
        <v>2026</v>
      </c>
      <c r="AH44" s="20"/>
      <c r="AI44" s="20"/>
      <c r="AJ44" s="19"/>
      <c r="AK44" s="232"/>
      <c r="AL44" s="107" t="s">
        <v>879</v>
      </c>
      <c r="AM44" s="205" t="s">
        <v>883</v>
      </c>
      <c r="AN44" s="19" t="s">
        <v>81</v>
      </c>
      <c r="AO44" s="119" t="s">
        <v>62</v>
      </c>
      <c r="AP44" s="96" t="s">
        <v>63</v>
      </c>
      <c r="AQ44" s="97" t="s">
        <v>887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K44" s="14"/>
    </row>
    <row r="45" spans="1:63" ht="97.5" customHeight="1" x14ac:dyDescent="0.25">
      <c r="B45" s="27" t="s">
        <v>694</v>
      </c>
      <c r="C45" s="14" t="s">
        <v>720</v>
      </c>
      <c r="D45" s="14" t="s">
        <v>68</v>
      </c>
      <c r="F45" s="18" t="s">
        <v>721</v>
      </c>
      <c r="G45" s="18" t="s">
        <v>58</v>
      </c>
      <c r="H45" s="19"/>
      <c r="N45" s="21">
        <v>17423663</v>
      </c>
      <c r="O45" s="14" t="e">
        <f ca="1">[1]!terbilang(N45)</f>
        <v>#NAME?</v>
      </c>
      <c r="P45" s="19"/>
      <c r="Q45" s="116"/>
      <c r="R45" s="19"/>
      <c r="S45" s="19"/>
      <c r="T45" s="117"/>
      <c r="U45" s="19"/>
      <c r="V45" s="118"/>
      <c r="W45" s="19"/>
      <c r="X45" s="19"/>
      <c r="Y45" s="19"/>
      <c r="Z45" s="20"/>
      <c r="AA45" s="118"/>
      <c r="AB45" s="19"/>
      <c r="AC45" s="43"/>
      <c r="AD45" s="43" t="s">
        <v>876</v>
      </c>
      <c r="AE45" s="12">
        <v>4</v>
      </c>
      <c r="AF45" s="19" t="s">
        <v>75</v>
      </c>
      <c r="AG45" s="19">
        <v>2026</v>
      </c>
      <c r="AH45" s="20"/>
      <c r="AI45" s="20"/>
      <c r="AJ45" s="19"/>
      <c r="AK45" s="232"/>
      <c r="AL45" s="107" t="s">
        <v>880</v>
      </c>
      <c r="AM45" s="205" t="s">
        <v>884</v>
      </c>
      <c r="AN45" s="22" t="s">
        <v>71</v>
      </c>
      <c r="AO45" s="95" t="s">
        <v>72</v>
      </c>
      <c r="AP45" s="96" t="s">
        <v>60</v>
      </c>
      <c r="AQ45" s="97" t="s">
        <v>888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K45" s="14"/>
    </row>
    <row r="46" spans="1:63" ht="97.5" customHeight="1" x14ac:dyDescent="0.25">
      <c r="B46" s="27" t="s">
        <v>848</v>
      </c>
      <c r="C46" s="14" t="s">
        <v>77</v>
      </c>
      <c r="D46" s="14" t="s">
        <v>61</v>
      </c>
      <c r="E46" s="14" t="s">
        <v>795</v>
      </c>
      <c r="F46" s="34" t="s">
        <v>745</v>
      </c>
      <c r="G46" s="34" t="s">
        <v>58</v>
      </c>
      <c r="N46" s="21">
        <v>7000000</v>
      </c>
      <c r="O46" s="13" t="s">
        <v>889</v>
      </c>
      <c r="AD46" s="43" t="s">
        <v>890</v>
      </c>
      <c r="AE46" s="19">
        <v>6</v>
      </c>
      <c r="AF46" s="19" t="s">
        <v>75</v>
      </c>
      <c r="AG46" s="19">
        <v>2026</v>
      </c>
      <c r="AL46" s="43" t="s">
        <v>891</v>
      </c>
      <c r="AM46" s="206" t="s">
        <v>892</v>
      </c>
      <c r="AN46" s="19" t="s">
        <v>797</v>
      </c>
      <c r="AO46" s="19" t="s">
        <v>799</v>
      </c>
      <c r="AP46" s="120" t="s">
        <v>800</v>
      </c>
      <c r="AQ46" s="97" t="s">
        <v>893</v>
      </c>
    </row>
    <row r="47" spans="1:63" s="15" customFormat="1" ht="97.5" customHeight="1" x14ac:dyDescent="0.25">
      <c r="A47" s="12"/>
      <c r="B47" s="27" t="s">
        <v>848</v>
      </c>
      <c r="C47" s="14" t="s">
        <v>77</v>
      </c>
      <c r="D47" s="14" t="s">
        <v>61</v>
      </c>
      <c r="E47" s="13" t="s">
        <v>795</v>
      </c>
      <c r="F47" s="18" t="s">
        <v>745</v>
      </c>
      <c r="G47" s="18" t="s">
        <v>58</v>
      </c>
      <c r="H47" s="12"/>
      <c r="I47" s="12"/>
      <c r="J47" s="36"/>
      <c r="K47" s="16"/>
      <c r="L47" s="16"/>
      <c r="M47" s="12"/>
      <c r="N47" s="21">
        <v>7000000</v>
      </c>
      <c r="O47" s="14" t="e">
        <f ca="1">[1]!terbilang(N47)</f>
        <v>#NAME?</v>
      </c>
      <c r="P47" s="12"/>
      <c r="Q47" s="207"/>
      <c r="R47" s="12"/>
      <c r="S47" s="12"/>
      <c r="T47" s="117"/>
      <c r="U47" s="12"/>
      <c r="V47" s="36"/>
      <c r="W47" s="12"/>
      <c r="X47" s="12"/>
      <c r="Y47" s="12"/>
      <c r="Z47" s="16"/>
      <c r="AA47" s="36"/>
      <c r="AB47" s="12"/>
      <c r="AC47" s="41"/>
      <c r="AD47" s="43" t="s">
        <v>894</v>
      </c>
      <c r="AE47" s="12">
        <v>6</v>
      </c>
      <c r="AF47" s="19" t="s">
        <v>75</v>
      </c>
      <c r="AG47" s="19">
        <v>2026</v>
      </c>
      <c r="AH47" s="16"/>
      <c r="AI47" s="16"/>
      <c r="AJ47" s="12"/>
      <c r="AK47" s="234"/>
      <c r="AL47" s="43" t="s">
        <v>895</v>
      </c>
      <c r="AM47" s="205" t="s">
        <v>896</v>
      </c>
      <c r="AN47" s="19" t="s">
        <v>797</v>
      </c>
      <c r="AO47" s="119" t="s">
        <v>799</v>
      </c>
      <c r="AP47" s="96" t="s">
        <v>800</v>
      </c>
      <c r="AQ47" s="97" t="s">
        <v>897</v>
      </c>
      <c r="AR47" s="70"/>
      <c r="AS47" s="70"/>
      <c r="AT47" s="70"/>
      <c r="AW47" s="71"/>
      <c r="AX47" s="72"/>
      <c r="BJ47" s="71"/>
      <c r="BK47" s="13"/>
    </row>
    <row r="48" spans="1:63" s="15" customFormat="1" ht="97.5" customHeight="1" x14ac:dyDescent="0.25">
      <c r="A48" s="12"/>
      <c r="B48" s="27" t="s">
        <v>694</v>
      </c>
      <c r="C48" s="14" t="s">
        <v>720</v>
      </c>
      <c r="D48" s="14" t="s">
        <v>68</v>
      </c>
      <c r="E48" s="13" t="s">
        <v>744</v>
      </c>
      <c r="F48" s="18" t="s">
        <v>745</v>
      </c>
      <c r="G48" s="18" t="s">
        <v>58</v>
      </c>
      <c r="H48" s="12"/>
      <c r="I48" s="12"/>
      <c r="J48" s="36"/>
      <c r="K48" s="16"/>
      <c r="L48" s="16"/>
      <c r="M48" s="12"/>
      <c r="N48" s="17">
        <v>7000000</v>
      </c>
      <c r="O48" s="14" t="e">
        <f ca="1">[1]!terbilang(N48)</f>
        <v>#NAME?</v>
      </c>
      <c r="P48" s="12"/>
      <c r="Q48" s="207"/>
      <c r="R48" s="12"/>
      <c r="S48" s="12"/>
      <c r="T48" s="117"/>
      <c r="U48" s="12"/>
      <c r="V48" s="36"/>
      <c r="W48" s="12"/>
      <c r="X48" s="12"/>
      <c r="Y48" s="12"/>
      <c r="Z48" s="16"/>
      <c r="AA48" s="36"/>
      <c r="AB48" s="12"/>
      <c r="AC48" s="41"/>
      <c r="AD48" s="43" t="s">
        <v>900</v>
      </c>
      <c r="AE48" s="12">
        <v>6</v>
      </c>
      <c r="AF48" s="19" t="s">
        <v>75</v>
      </c>
      <c r="AG48" s="19">
        <v>2026</v>
      </c>
      <c r="AH48" s="16"/>
      <c r="AI48" s="16"/>
      <c r="AJ48" s="12"/>
      <c r="AK48" s="234"/>
      <c r="AL48" s="43" t="s">
        <v>903</v>
      </c>
      <c r="AM48" s="205" t="s">
        <v>899</v>
      </c>
      <c r="AN48" s="22" t="s">
        <v>71</v>
      </c>
      <c r="AO48" s="95" t="s">
        <v>72</v>
      </c>
      <c r="AP48" s="96" t="s">
        <v>60</v>
      </c>
      <c r="AQ48" s="97" t="s">
        <v>898</v>
      </c>
      <c r="AR48" s="70"/>
      <c r="AS48" s="70"/>
      <c r="AT48" s="70"/>
      <c r="AW48" s="71"/>
      <c r="AX48" s="72"/>
      <c r="BJ48" s="71"/>
      <c r="BK48" s="13"/>
    </row>
    <row r="49" spans="1:63" s="15" customFormat="1" ht="97.5" customHeight="1" x14ac:dyDescent="0.25">
      <c r="A49" s="12"/>
      <c r="B49" s="27" t="s">
        <v>694</v>
      </c>
      <c r="C49" s="14" t="s">
        <v>720</v>
      </c>
      <c r="D49" s="14" t="s">
        <v>68</v>
      </c>
      <c r="E49" s="13" t="s">
        <v>744</v>
      </c>
      <c r="F49" s="18" t="s">
        <v>745</v>
      </c>
      <c r="G49" s="18" t="s">
        <v>58</v>
      </c>
      <c r="H49" s="12"/>
      <c r="I49" s="12"/>
      <c r="J49" s="36"/>
      <c r="K49" s="16"/>
      <c r="L49" s="16"/>
      <c r="M49" s="12"/>
      <c r="N49" s="17">
        <v>7000000</v>
      </c>
      <c r="O49" s="14" t="e">
        <f ca="1">[1]!terbilang(N49)</f>
        <v>#NAME?</v>
      </c>
      <c r="P49" s="12"/>
      <c r="Q49" s="207"/>
      <c r="R49" s="12"/>
      <c r="S49" s="12"/>
      <c r="T49" s="117"/>
      <c r="U49" s="12"/>
      <c r="V49" s="36"/>
      <c r="W49" s="12"/>
      <c r="X49" s="12"/>
      <c r="Y49" s="12"/>
      <c r="Z49" s="16"/>
      <c r="AA49" s="36"/>
      <c r="AB49" s="12"/>
      <c r="AC49" s="41"/>
      <c r="AD49" s="43" t="s">
        <v>905</v>
      </c>
      <c r="AE49" s="12">
        <v>6</v>
      </c>
      <c r="AF49" s="19" t="s">
        <v>75</v>
      </c>
      <c r="AG49" s="19">
        <v>2026</v>
      </c>
      <c r="AH49" s="16"/>
      <c r="AI49" s="16"/>
      <c r="AJ49" s="12"/>
      <c r="AK49" s="234"/>
      <c r="AL49" s="43" t="s">
        <v>904</v>
      </c>
      <c r="AM49" s="205" t="s">
        <v>902</v>
      </c>
      <c r="AN49" s="22" t="s">
        <v>71</v>
      </c>
      <c r="AO49" s="95" t="s">
        <v>72</v>
      </c>
      <c r="AP49" s="96" t="s">
        <v>60</v>
      </c>
      <c r="AQ49" s="97" t="s">
        <v>901</v>
      </c>
      <c r="AR49" s="70"/>
      <c r="AS49" s="70"/>
      <c r="AT49" s="70"/>
      <c r="AW49" s="71"/>
      <c r="AX49" s="72"/>
      <c r="BJ49" s="71"/>
      <c r="BK49" s="13"/>
    </row>
    <row r="50" spans="1:63" s="15" customFormat="1" ht="97.5" customHeight="1" x14ac:dyDescent="0.25">
      <c r="A50" s="12"/>
      <c r="B50" s="27" t="s">
        <v>694</v>
      </c>
      <c r="C50" s="14" t="s">
        <v>720</v>
      </c>
      <c r="D50" s="14" t="s">
        <v>68</v>
      </c>
      <c r="E50" s="13" t="s">
        <v>744</v>
      </c>
      <c r="F50" s="18" t="s">
        <v>745</v>
      </c>
      <c r="G50" s="18" t="s">
        <v>58</v>
      </c>
      <c r="H50" s="12"/>
      <c r="I50" s="12"/>
      <c r="J50" s="36"/>
      <c r="K50" s="16"/>
      <c r="L50" s="16"/>
      <c r="M50" s="12"/>
      <c r="N50" s="17">
        <v>7000000</v>
      </c>
      <c r="O50" s="14" t="e">
        <f ca="1">[1]!terbilang(N50)</f>
        <v>#NAME?</v>
      </c>
      <c r="P50" s="12"/>
      <c r="Q50" s="207"/>
      <c r="R50" s="12"/>
      <c r="S50" s="12"/>
      <c r="T50" s="117"/>
      <c r="U50" s="12"/>
      <c r="V50" s="36"/>
      <c r="W50" s="12"/>
      <c r="X50" s="12"/>
      <c r="Y50" s="12"/>
      <c r="Z50" s="16"/>
      <c r="AA50" s="36"/>
      <c r="AB50" s="12"/>
      <c r="AC50" s="41"/>
      <c r="AD50" s="43" t="s">
        <v>909</v>
      </c>
      <c r="AE50" s="12">
        <v>6</v>
      </c>
      <c r="AF50" s="19" t="s">
        <v>75</v>
      </c>
      <c r="AG50" s="19">
        <v>2026</v>
      </c>
      <c r="AH50" s="16"/>
      <c r="AI50" s="16"/>
      <c r="AJ50" s="12"/>
      <c r="AK50" s="234"/>
      <c r="AL50" s="43" t="s">
        <v>908</v>
      </c>
      <c r="AM50" s="205" t="s">
        <v>906</v>
      </c>
      <c r="AN50" s="22" t="s">
        <v>71</v>
      </c>
      <c r="AO50" s="95" t="s">
        <v>72</v>
      </c>
      <c r="AP50" s="96" t="s">
        <v>60</v>
      </c>
      <c r="AQ50" s="97" t="s">
        <v>907</v>
      </c>
      <c r="AR50" s="70"/>
      <c r="AS50" s="70"/>
      <c r="AT50" s="70"/>
      <c r="AW50" s="71"/>
      <c r="AX50" s="72"/>
      <c r="BJ50" s="71"/>
      <c r="BK50" s="13"/>
    </row>
    <row r="51" spans="1:63" s="15" customFormat="1" ht="97.5" customHeight="1" x14ac:dyDescent="0.25">
      <c r="A51" s="12"/>
      <c r="B51" s="27" t="s">
        <v>694</v>
      </c>
      <c r="C51" s="14" t="s">
        <v>720</v>
      </c>
      <c r="D51" s="14" t="s">
        <v>68</v>
      </c>
      <c r="E51" s="13" t="s">
        <v>744</v>
      </c>
      <c r="F51" s="18" t="s">
        <v>745</v>
      </c>
      <c r="G51" s="18" t="s">
        <v>58</v>
      </c>
      <c r="H51" s="12"/>
      <c r="I51" s="12"/>
      <c r="J51" s="36"/>
      <c r="K51" s="16"/>
      <c r="L51" s="16"/>
      <c r="M51" s="12"/>
      <c r="N51" s="17">
        <v>7000000</v>
      </c>
      <c r="O51" s="14" t="e">
        <f ca="1">[1]!terbilang(N51)</f>
        <v>#NAME?</v>
      </c>
      <c r="P51" s="12"/>
      <c r="Q51" s="207"/>
      <c r="R51" s="12"/>
      <c r="S51" s="12"/>
      <c r="T51" s="117"/>
      <c r="U51" s="12"/>
      <c r="V51" s="36"/>
      <c r="W51" s="12"/>
      <c r="X51" s="12"/>
      <c r="Y51" s="12"/>
      <c r="Z51" s="16"/>
      <c r="AA51" s="36"/>
      <c r="AB51" s="12"/>
      <c r="AC51" s="41"/>
      <c r="AD51" s="43" t="s">
        <v>916</v>
      </c>
      <c r="AE51" s="12">
        <v>6</v>
      </c>
      <c r="AF51" s="19" t="s">
        <v>75</v>
      </c>
      <c r="AG51" s="19">
        <v>2026</v>
      </c>
      <c r="AH51" s="16"/>
      <c r="AI51" s="16"/>
      <c r="AJ51" s="12"/>
      <c r="AK51" s="234"/>
      <c r="AL51" s="43" t="s">
        <v>914</v>
      </c>
      <c r="AM51" s="205" t="s">
        <v>910</v>
      </c>
      <c r="AN51" s="22" t="s">
        <v>71</v>
      </c>
      <c r="AO51" s="95" t="s">
        <v>72</v>
      </c>
      <c r="AP51" s="96" t="s">
        <v>60</v>
      </c>
      <c r="AQ51" s="97" t="s">
        <v>912</v>
      </c>
      <c r="AR51" s="70"/>
      <c r="AS51" s="70"/>
      <c r="AT51" s="70"/>
      <c r="AW51" s="71"/>
      <c r="AX51" s="72"/>
      <c r="BJ51" s="71"/>
      <c r="BK51" s="13"/>
    </row>
    <row r="52" spans="1:63" s="15" customFormat="1" ht="97.5" customHeight="1" x14ac:dyDescent="0.25">
      <c r="A52" s="12"/>
      <c r="B52" s="27" t="s">
        <v>694</v>
      </c>
      <c r="C52" s="14" t="s">
        <v>720</v>
      </c>
      <c r="D52" s="14" t="s">
        <v>68</v>
      </c>
      <c r="E52" s="13" t="s">
        <v>744</v>
      </c>
      <c r="F52" s="18" t="s">
        <v>745</v>
      </c>
      <c r="G52" s="18" t="s">
        <v>58</v>
      </c>
      <c r="H52" s="12"/>
      <c r="I52" s="12"/>
      <c r="J52" s="36"/>
      <c r="K52" s="16"/>
      <c r="L52" s="16"/>
      <c r="M52" s="12"/>
      <c r="N52" s="17">
        <v>7000000</v>
      </c>
      <c r="O52" s="14" t="e">
        <f ca="1">[1]!terbilang(N52)</f>
        <v>#NAME?</v>
      </c>
      <c r="P52" s="12"/>
      <c r="Q52" s="207"/>
      <c r="R52" s="12"/>
      <c r="S52" s="12"/>
      <c r="T52" s="117"/>
      <c r="U52" s="12"/>
      <c r="V52" s="36"/>
      <c r="W52" s="12"/>
      <c r="X52" s="12"/>
      <c r="Y52" s="12"/>
      <c r="Z52" s="16"/>
      <c r="AA52" s="36"/>
      <c r="AB52" s="12"/>
      <c r="AC52" s="41"/>
      <c r="AD52" s="43" t="s">
        <v>917</v>
      </c>
      <c r="AE52" s="12">
        <v>6</v>
      </c>
      <c r="AF52" s="19" t="s">
        <v>75</v>
      </c>
      <c r="AG52" s="19">
        <v>2026</v>
      </c>
      <c r="AH52" s="16"/>
      <c r="AI52" s="16"/>
      <c r="AJ52" s="12"/>
      <c r="AK52" s="234"/>
      <c r="AL52" s="43" t="s">
        <v>915</v>
      </c>
      <c r="AM52" s="205" t="s">
        <v>911</v>
      </c>
      <c r="AN52" s="22" t="s">
        <v>71</v>
      </c>
      <c r="AO52" s="95" t="s">
        <v>72</v>
      </c>
      <c r="AP52" s="96" t="s">
        <v>60</v>
      </c>
      <c r="AQ52" s="97" t="s">
        <v>913</v>
      </c>
      <c r="AR52" s="70"/>
      <c r="AS52" s="70"/>
      <c r="AT52" s="70"/>
      <c r="AW52" s="71"/>
      <c r="AX52" s="72"/>
      <c r="BJ52" s="71"/>
      <c r="BK52" s="13"/>
    </row>
    <row r="53" spans="1:63" s="15" customFormat="1" ht="97.5" customHeight="1" x14ac:dyDescent="0.25">
      <c r="A53" s="12"/>
      <c r="B53" s="27" t="s">
        <v>848</v>
      </c>
      <c r="C53" s="14" t="s">
        <v>720</v>
      </c>
      <c r="D53" s="14" t="s">
        <v>68</v>
      </c>
      <c r="E53" s="13" t="s">
        <v>744</v>
      </c>
      <c r="F53" s="18" t="s">
        <v>745</v>
      </c>
      <c r="G53" s="18" t="s">
        <v>58</v>
      </c>
      <c r="H53" s="12"/>
      <c r="I53" s="12"/>
      <c r="J53" s="36"/>
      <c r="K53" s="16"/>
      <c r="L53" s="16"/>
      <c r="M53" s="12"/>
      <c r="N53" s="17">
        <v>7000000</v>
      </c>
      <c r="O53" s="14" t="e">
        <f ca="1">[1]!terbilang(N53)</f>
        <v>#NAME?</v>
      </c>
      <c r="P53" s="12"/>
      <c r="Q53" s="207"/>
      <c r="R53" s="12"/>
      <c r="S53" s="12"/>
      <c r="T53" s="117"/>
      <c r="U53" s="12"/>
      <c r="V53" s="36"/>
      <c r="W53" s="12"/>
      <c r="X53" s="12"/>
      <c r="Y53" s="12"/>
      <c r="Z53" s="16"/>
      <c r="AA53" s="36"/>
      <c r="AB53" s="12"/>
      <c r="AC53" s="41"/>
      <c r="AD53" s="43" t="s">
        <v>924</v>
      </c>
      <c r="AE53" s="12">
        <v>6</v>
      </c>
      <c r="AF53" s="19" t="s">
        <v>75</v>
      </c>
      <c r="AG53" s="19">
        <v>2026</v>
      </c>
      <c r="AH53" s="16"/>
      <c r="AI53" s="16"/>
      <c r="AJ53" s="12"/>
      <c r="AK53" s="234"/>
      <c r="AL53" s="43" t="s">
        <v>922</v>
      </c>
      <c r="AM53" s="205" t="s">
        <v>920</v>
      </c>
      <c r="AN53" s="22" t="s">
        <v>71</v>
      </c>
      <c r="AO53" s="95" t="s">
        <v>72</v>
      </c>
      <c r="AP53" s="96" t="s">
        <v>60</v>
      </c>
      <c r="AQ53" s="97" t="s">
        <v>918</v>
      </c>
      <c r="AR53" s="70"/>
      <c r="AS53" s="70"/>
      <c r="AT53" s="70"/>
      <c r="AW53" s="71"/>
      <c r="AX53" s="72"/>
      <c r="BJ53" s="71"/>
      <c r="BK53" s="13"/>
    </row>
    <row r="54" spans="1:63" s="15" customFormat="1" ht="97.5" customHeight="1" x14ac:dyDescent="0.25">
      <c r="A54" s="12"/>
      <c r="B54" s="27" t="s">
        <v>848</v>
      </c>
      <c r="C54" s="14" t="s">
        <v>720</v>
      </c>
      <c r="D54" s="14" t="s">
        <v>68</v>
      </c>
      <c r="E54" s="13" t="s">
        <v>744</v>
      </c>
      <c r="F54" s="18" t="s">
        <v>745</v>
      </c>
      <c r="G54" s="18" t="s">
        <v>58</v>
      </c>
      <c r="H54" s="12"/>
      <c r="I54" s="12"/>
      <c r="J54" s="36"/>
      <c r="K54" s="16"/>
      <c r="L54" s="16"/>
      <c r="M54" s="12"/>
      <c r="N54" s="17">
        <v>7000000</v>
      </c>
      <c r="O54" s="14" t="e">
        <f ca="1">[1]!terbilang(N54)</f>
        <v>#NAME?</v>
      </c>
      <c r="P54" s="12"/>
      <c r="Q54" s="207"/>
      <c r="R54" s="12"/>
      <c r="S54" s="12"/>
      <c r="T54" s="117"/>
      <c r="U54" s="12"/>
      <c r="V54" s="36"/>
      <c r="W54" s="12"/>
      <c r="X54" s="12"/>
      <c r="Y54" s="12"/>
      <c r="Z54" s="16"/>
      <c r="AA54" s="36"/>
      <c r="AB54" s="12"/>
      <c r="AC54" s="41"/>
      <c r="AD54" s="43" t="s">
        <v>925</v>
      </c>
      <c r="AE54" s="12">
        <v>6</v>
      </c>
      <c r="AF54" s="19" t="s">
        <v>75</v>
      </c>
      <c r="AG54" s="19">
        <v>2026</v>
      </c>
      <c r="AH54" s="16"/>
      <c r="AI54" s="16"/>
      <c r="AJ54" s="12"/>
      <c r="AK54" s="234"/>
      <c r="AL54" s="43" t="s">
        <v>923</v>
      </c>
      <c r="AM54" s="205" t="s">
        <v>921</v>
      </c>
      <c r="AN54" s="22" t="s">
        <v>71</v>
      </c>
      <c r="AO54" s="95" t="s">
        <v>72</v>
      </c>
      <c r="AP54" s="96" t="s">
        <v>60</v>
      </c>
      <c r="AQ54" s="97" t="s">
        <v>919</v>
      </c>
      <c r="AR54" s="70"/>
      <c r="AS54" s="70"/>
      <c r="AT54" s="70"/>
      <c r="AW54" s="71"/>
      <c r="AX54" s="72"/>
      <c r="BJ54" s="71"/>
      <c r="BK54" s="13"/>
    </row>
    <row r="55" spans="1:63" s="15" customFormat="1" ht="97.5" customHeight="1" x14ac:dyDescent="0.25">
      <c r="A55" s="12"/>
      <c r="B55" s="27" t="s">
        <v>848</v>
      </c>
      <c r="C55" s="14" t="s">
        <v>720</v>
      </c>
      <c r="D55" s="14" t="s">
        <v>68</v>
      </c>
      <c r="E55" s="13" t="s">
        <v>744</v>
      </c>
      <c r="F55" s="18" t="s">
        <v>745</v>
      </c>
      <c r="G55" s="18" t="s">
        <v>58</v>
      </c>
      <c r="H55" s="12"/>
      <c r="I55" s="12"/>
      <c r="J55" s="36"/>
      <c r="K55" s="16"/>
      <c r="L55" s="16"/>
      <c r="M55" s="12"/>
      <c r="N55" s="17">
        <v>7000000</v>
      </c>
      <c r="O55" s="14" t="e">
        <f ca="1">[1]!terbilang(N55)</f>
        <v>#NAME?</v>
      </c>
      <c r="P55" s="12"/>
      <c r="Q55" s="207"/>
      <c r="R55" s="12"/>
      <c r="S55" s="12"/>
      <c r="T55" s="117"/>
      <c r="U55" s="12"/>
      <c r="V55" s="36"/>
      <c r="W55" s="12"/>
      <c r="X55" s="12"/>
      <c r="Y55" s="12"/>
      <c r="Z55" s="16"/>
      <c r="AA55" s="36"/>
      <c r="AB55" s="12"/>
      <c r="AC55" s="41"/>
      <c r="AD55" s="43" t="s">
        <v>926</v>
      </c>
      <c r="AE55" s="12">
        <v>6</v>
      </c>
      <c r="AF55" s="19" t="s">
        <v>75</v>
      </c>
      <c r="AG55" s="19">
        <v>2026</v>
      </c>
      <c r="AH55" s="16"/>
      <c r="AI55" s="16"/>
      <c r="AJ55" s="12"/>
      <c r="AK55" s="234"/>
      <c r="AL55" s="43" t="s">
        <v>928</v>
      </c>
      <c r="AM55" s="205" t="s">
        <v>927</v>
      </c>
      <c r="AN55" s="22" t="s">
        <v>71</v>
      </c>
      <c r="AO55" s="95" t="s">
        <v>72</v>
      </c>
      <c r="AP55" s="96" t="s">
        <v>60</v>
      </c>
      <c r="AQ55" s="97" t="s">
        <v>929</v>
      </c>
      <c r="AR55" s="70"/>
      <c r="AS55" s="70"/>
      <c r="AT55" s="70"/>
      <c r="AW55" s="71"/>
      <c r="AX55" s="72"/>
      <c r="BJ55" s="71"/>
      <c r="BK55" s="13"/>
    </row>
    <row r="56" spans="1:63" s="15" customFormat="1" ht="97.5" customHeight="1" x14ac:dyDescent="0.25">
      <c r="A56" s="12"/>
      <c r="B56" s="27" t="s">
        <v>848</v>
      </c>
      <c r="C56" s="14" t="s">
        <v>720</v>
      </c>
      <c r="D56" s="14" t="s">
        <v>68</v>
      </c>
      <c r="E56" s="13" t="s">
        <v>786</v>
      </c>
      <c r="F56" s="18" t="s">
        <v>745</v>
      </c>
      <c r="G56" s="18" t="s">
        <v>58</v>
      </c>
      <c r="H56" s="12"/>
      <c r="I56" s="12"/>
      <c r="J56" s="36"/>
      <c r="K56" s="16"/>
      <c r="L56" s="16"/>
      <c r="M56" s="12"/>
      <c r="N56" s="17">
        <v>7000000</v>
      </c>
      <c r="O56" s="14" t="e">
        <f ca="1">[1]!terbilang(N56)</f>
        <v>#NAME?</v>
      </c>
      <c r="P56" s="12"/>
      <c r="Q56" s="207"/>
      <c r="R56" s="12"/>
      <c r="S56" s="12"/>
      <c r="T56" s="117"/>
      <c r="U56" s="12"/>
      <c r="V56" s="36"/>
      <c r="W56" s="12"/>
      <c r="X56" s="12"/>
      <c r="Y56" s="12"/>
      <c r="Z56" s="16"/>
      <c r="AA56" s="36"/>
      <c r="AB56" s="12"/>
      <c r="AC56" s="41"/>
      <c r="AD56" s="43" t="s">
        <v>934</v>
      </c>
      <c r="AE56" s="12">
        <v>6</v>
      </c>
      <c r="AF56" s="19" t="s">
        <v>75</v>
      </c>
      <c r="AG56" s="19">
        <v>2026</v>
      </c>
      <c r="AH56" s="16"/>
      <c r="AI56" s="16"/>
      <c r="AJ56" s="12"/>
      <c r="AK56" s="234"/>
      <c r="AL56" s="43" t="s">
        <v>932</v>
      </c>
      <c r="AM56" s="205" t="s">
        <v>930</v>
      </c>
      <c r="AN56" s="22" t="s">
        <v>73</v>
      </c>
      <c r="AO56" s="95" t="s">
        <v>74</v>
      </c>
      <c r="AP56" s="96" t="s">
        <v>66</v>
      </c>
      <c r="AQ56" s="97" t="s">
        <v>936</v>
      </c>
      <c r="AR56" s="70"/>
      <c r="AS56" s="70"/>
      <c r="AT56" s="70"/>
      <c r="AW56" s="71"/>
      <c r="AX56" s="72"/>
      <c r="BJ56" s="71"/>
      <c r="BK56" s="13"/>
    </row>
    <row r="57" spans="1:63" s="15" customFormat="1" ht="97.5" customHeight="1" x14ac:dyDescent="0.25">
      <c r="A57" s="12"/>
      <c r="B57" s="27" t="s">
        <v>848</v>
      </c>
      <c r="C57" s="14" t="s">
        <v>77</v>
      </c>
      <c r="D57" s="14" t="s">
        <v>61</v>
      </c>
      <c r="E57" s="13" t="s">
        <v>795</v>
      </c>
      <c r="F57" s="18" t="s">
        <v>745</v>
      </c>
      <c r="G57" s="18" t="s">
        <v>58</v>
      </c>
      <c r="H57" s="12"/>
      <c r="I57" s="12"/>
      <c r="J57" s="36"/>
      <c r="K57" s="16"/>
      <c r="L57" s="16"/>
      <c r="M57" s="12"/>
      <c r="N57" s="17">
        <v>7000000</v>
      </c>
      <c r="O57" s="14" t="e">
        <f ca="1">[1]!terbilang(N57)</f>
        <v>#NAME?</v>
      </c>
      <c r="P57" s="12"/>
      <c r="Q57" s="207"/>
      <c r="R57" s="12"/>
      <c r="S57" s="12"/>
      <c r="T57" s="117"/>
      <c r="U57" s="12"/>
      <c r="V57" s="36"/>
      <c r="W57" s="12"/>
      <c r="X57" s="12"/>
      <c r="Y57" s="12"/>
      <c r="Z57" s="16"/>
      <c r="AA57" s="36"/>
      <c r="AB57" s="12"/>
      <c r="AC57" s="41"/>
      <c r="AD57" s="43" t="s">
        <v>935</v>
      </c>
      <c r="AE57" s="12">
        <v>6</v>
      </c>
      <c r="AF57" s="19" t="s">
        <v>75</v>
      </c>
      <c r="AG57" s="19">
        <v>2026</v>
      </c>
      <c r="AH57" s="16"/>
      <c r="AI57" s="16"/>
      <c r="AJ57" s="12"/>
      <c r="AK57" s="234"/>
      <c r="AL57" s="43" t="s">
        <v>939</v>
      </c>
      <c r="AM57" s="205" t="s">
        <v>938</v>
      </c>
      <c r="AN57" s="19" t="s">
        <v>797</v>
      </c>
      <c r="AO57" s="119" t="s">
        <v>799</v>
      </c>
      <c r="AP57" s="96" t="s">
        <v>800</v>
      </c>
      <c r="AQ57" s="97" t="s">
        <v>937</v>
      </c>
      <c r="AR57" s="70">
        <v>5526889</v>
      </c>
      <c r="AS57" s="70"/>
      <c r="AT57" s="70"/>
      <c r="AW57" s="71"/>
      <c r="AX57" s="72"/>
      <c r="BJ57" s="71"/>
      <c r="BK57" s="13"/>
    </row>
    <row r="58" spans="1:63" s="15" customFormat="1" ht="97.5" customHeight="1" x14ac:dyDescent="0.25">
      <c r="A58" s="12"/>
      <c r="B58" s="27" t="s">
        <v>848</v>
      </c>
      <c r="C58" s="14" t="s">
        <v>720</v>
      </c>
      <c r="D58" s="14" t="s">
        <v>68</v>
      </c>
      <c r="E58" s="13" t="s">
        <v>786</v>
      </c>
      <c r="F58" s="18" t="s">
        <v>745</v>
      </c>
      <c r="G58" s="18" t="s">
        <v>58</v>
      </c>
      <c r="H58" s="12"/>
      <c r="I58" s="12"/>
      <c r="J58" s="36"/>
      <c r="K58" s="16"/>
      <c r="L58" s="16"/>
      <c r="M58" s="12"/>
      <c r="N58" s="17">
        <v>7000000</v>
      </c>
      <c r="O58" s="14" t="e">
        <f ca="1">[1]!terbilang(N58)</f>
        <v>#NAME?</v>
      </c>
      <c r="P58" s="12"/>
      <c r="Q58" s="207"/>
      <c r="R58" s="12"/>
      <c r="S58" s="12"/>
      <c r="T58" s="117"/>
      <c r="U58" s="12"/>
      <c r="V58" s="36"/>
      <c r="W58" s="12"/>
      <c r="X58" s="12"/>
      <c r="Y58" s="12"/>
      <c r="Z58" s="16"/>
      <c r="AA58" s="36"/>
      <c r="AB58" s="12"/>
      <c r="AC58" s="41"/>
      <c r="AD58" s="43" t="s">
        <v>943</v>
      </c>
      <c r="AE58" s="12">
        <v>6</v>
      </c>
      <c r="AF58" s="19" t="s">
        <v>75</v>
      </c>
      <c r="AG58" s="19">
        <v>2026</v>
      </c>
      <c r="AH58" s="16"/>
      <c r="AI58" s="16"/>
      <c r="AJ58" s="12"/>
      <c r="AK58" s="234"/>
      <c r="AL58" s="43" t="s">
        <v>933</v>
      </c>
      <c r="AM58" s="205" t="s">
        <v>931</v>
      </c>
      <c r="AN58" s="22" t="s">
        <v>73</v>
      </c>
      <c r="AO58" s="95" t="s">
        <v>74</v>
      </c>
      <c r="AP58" s="96" t="s">
        <v>66</v>
      </c>
      <c r="AQ58" s="97" t="s">
        <v>942</v>
      </c>
      <c r="AR58" s="70"/>
      <c r="AS58" s="70"/>
      <c r="AT58" s="70"/>
      <c r="AW58" s="71"/>
      <c r="AX58" s="72"/>
      <c r="BJ58" s="71"/>
      <c r="BK58" s="13"/>
    </row>
    <row r="59" spans="1:63" s="15" customFormat="1" ht="97.5" customHeight="1" x14ac:dyDescent="0.25">
      <c r="A59" s="12"/>
      <c r="B59" s="27" t="s">
        <v>694</v>
      </c>
      <c r="C59" s="14" t="s">
        <v>77</v>
      </c>
      <c r="D59" s="14" t="s">
        <v>61</v>
      </c>
      <c r="E59" s="13" t="s">
        <v>78</v>
      </c>
      <c r="F59" s="18" t="s">
        <v>745</v>
      </c>
      <c r="G59" s="18" t="s">
        <v>58</v>
      </c>
      <c r="H59" s="12"/>
      <c r="I59" s="12"/>
      <c r="J59" s="36"/>
      <c r="K59" s="16"/>
      <c r="L59" s="16"/>
      <c r="M59" s="12"/>
      <c r="N59" s="17">
        <v>7000000</v>
      </c>
      <c r="O59" s="14" t="e">
        <f ca="1">[1]!terbilang(N59)</f>
        <v>#NAME?</v>
      </c>
      <c r="P59" s="12"/>
      <c r="Q59" s="207"/>
      <c r="R59" s="12"/>
      <c r="S59" s="12"/>
      <c r="T59" s="117"/>
      <c r="U59" s="12"/>
      <c r="V59" s="36"/>
      <c r="W59" s="12"/>
      <c r="X59" s="12"/>
      <c r="Y59" s="12"/>
      <c r="Z59" s="16"/>
      <c r="AA59" s="36"/>
      <c r="AB59" s="12"/>
      <c r="AC59" s="41"/>
      <c r="AD59" s="43" t="s">
        <v>952</v>
      </c>
      <c r="AE59" s="12">
        <v>6</v>
      </c>
      <c r="AF59" s="19" t="s">
        <v>75</v>
      </c>
      <c r="AG59" s="19">
        <v>2026</v>
      </c>
      <c r="AH59" s="16"/>
      <c r="AI59" s="16"/>
      <c r="AJ59" s="12"/>
      <c r="AK59" s="234"/>
      <c r="AL59" s="43" t="s">
        <v>950</v>
      </c>
      <c r="AM59" s="205" t="s">
        <v>948</v>
      </c>
      <c r="AN59" s="19" t="s">
        <v>81</v>
      </c>
      <c r="AO59" s="119" t="s">
        <v>62</v>
      </c>
      <c r="AP59" s="96" t="s">
        <v>63</v>
      </c>
      <c r="AQ59" s="97" t="s">
        <v>946</v>
      </c>
      <c r="AR59" s="70"/>
      <c r="AS59" s="70"/>
      <c r="AT59" s="70"/>
      <c r="AW59" s="71"/>
      <c r="AX59" s="72"/>
      <c r="BJ59" s="71"/>
      <c r="BK59" s="13"/>
    </row>
    <row r="60" spans="1:63" s="15" customFormat="1" ht="97.5" customHeight="1" x14ac:dyDescent="0.25">
      <c r="A60" s="12"/>
      <c r="B60" s="27" t="s">
        <v>694</v>
      </c>
      <c r="C60" s="14" t="s">
        <v>77</v>
      </c>
      <c r="D60" s="14" t="s">
        <v>61</v>
      </c>
      <c r="E60" s="13" t="s">
        <v>78</v>
      </c>
      <c r="F60" s="18" t="s">
        <v>745</v>
      </c>
      <c r="G60" s="18" t="s">
        <v>58</v>
      </c>
      <c r="H60" s="12"/>
      <c r="I60" s="12"/>
      <c r="J60" s="36"/>
      <c r="K60" s="16"/>
      <c r="L60" s="16"/>
      <c r="M60" s="12"/>
      <c r="N60" s="17">
        <v>7000000</v>
      </c>
      <c r="O60" s="14" t="e">
        <f ca="1">[1]!terbilang(N60)</f>
        <v>#NAME?</v>
      </c>
      <c r="P60" s="12"/>
      <c r="Q60" s="207"/>
      <c r="R60" s="12"/>
      <c r="S60" s="12"/>
      <c r="T60" s="117"/>
      <c r="U60" s="12"/>
      <c r="V60" s="36"/>
      <c r="W60" s="12"/>
      <c r="X60" s="12"/>
      <c r="Y60" s="12"/>
      <c r="Z60" s="16"/>
      <c r="AA60" s="36"/>
      <c r="AB60" s="12"/>
      <c r="AC60" s="41"/>
      <c r="AD60" s="43" t="s">
        <v>953</v>
      </c>
      <c r="AE60" s="12">
        <v>6</v>
      </c>
      <c r="AF60" s="19" t="s">
        <v>75</v>
      </c>
      <c r="AG60" s="19">
        <v>2026</v>
      </c>
      <c r="AH60" s="16"/>
      <c r="AI60" s="16"/>
      <c r="AJ60" s="12"/>
      <c r="AK60" s="234"/>
      <c r="AL60" s="43" t="s">
        <v>951</v>
      </c>
      <c r="AM60" s="205" t="s">
        <v>949</v>
      </c>
      <c r="AN60" s="19" t="s">
        <v>81</v>
      </c>
      <c r="AO60" s="119" t="s">
        <v>62</v>
      </c>
      <c r="AP60" s="96" t="s">
        <v>63</v>
      </c>
      <c r="AQ60" s="97" t="s">
        <v>947</v>
      </c>
      <c r="AR60" s="70"/>
      <c r="AS60" s="70"/>
      <c r="AT60" s="70"/>
      <c r="AW60" s="71"/>
      <c r="AX60" s="72"/>
      <c r="BJ60" s="71"/>
      <c r="BK60" s="13"/>
    </row>
    <row r="61" spans="1:63" s="23" customFormat="1" ht="97.5" customHeight="1" x14ac:dyDescent="0.25">
      <c r="A61" s="22"/>
      <c r="B61" s="27" t="s">
        <v>848</v>
      </c>
      <c r="C61" s="11" t="s">
        <v>57</v>
      </c>
      <c r="D61" s="11" t="s">
        <v>59</v>
      </c>
      <c r="E61" s="11"/>
      <c r="F61" s="23" t="s">
        <v>725</v>
      </c>
      <c r="G61" s="23" t="s">
        <v>58</v>
      </c>
      <c r="H61" s="22"/>
      <c r="I61" s="22"/>
      <c r="J61" s="22"/>
      <c r="K61" s="24"/>
      <c r="L61" s="24"/>
      <c r="M61" s="22"/>
      <c r="N61" s="25">
        <v>283304922</v>
      </c>
      <c r="O61" s="14" t="e">
        <f ca="1">[1]!terbilang(N61)</f>
        <v>#NAME?</v>
      </c>
      <c r="P61" s="22"/>
      <c r="Q61" s="104"/>
      <c r="R61" s="22"/>
      <c r="S61" s="22"/>
      <c r="T61" s="105"/>
      <c r="U61" s="22"/>
      <c r="V61" s="106"/>
      <c r="W61" s="22"/>
      <c r="X61" s="22"/>
      <c r="Y61" s="22"/>
      <c r="Z61" s="24"/>
      <c r="AA61" s="106"/>
      <c r="AB61" s="22"/>
      <c r="AC61" s="107"/>
      <c r="AD61" s="43" t="s">
        <v>969</v>
      </c>
      <c r="AE61" s="12">
        <v>10</v>
      </c>
      <c r="AF61" s="19" t="s">
        <v>75</v>
      </c>
      <c r="AG61" s="19">
        <v>2026</v>
      </c>
      <c r="AH61" s="24"/>
      <c r="AI61" s="24"/>
      <c r="AJ61" s="22"/>
      <c r="AK61" s="231"/>
      <c r="AL61" s="107" t="s">
        <v>967</v>
      </c>
      <c r="AM61" s="205" t="s">
        <v>962</v>
      </c>
      <c r="AN61" s="22" t="s">
        <v>71</v>
      </c>
      <c r="AO61" s="95" t="s">
        <v>72</v>
      </c>
      <c r="AP61" s="96" t="s">
        <v>60</v>
      </c>
      <c r="AQ61" s="97" t="s">
        <v>957</v>
      </c>
      <c r="AR61" s="28"/>
      <c r="AS61" s="28"/>
      <c r="AT61" s="28"/>
      <c r="AW61" s="29"/>
      <c r="BJ61" s="29"/>
      <c r="BK61" s="11"/>
    </row>
    <row r="62" spans="1:63" ht="97.5" customHeight="1" x14ac:dyDescent="0.25">
      <c r="B62" s="27" t="s">
        <v>848</v>
      </c>
      <c r="C62" s="14" t="s">
        <v>77</v>
      </c>
      <c r="D62" s="14" t="s">
        <v>61</v>
      </c>
      <c r="F62" s="18" t="s">
        <v>719</v>
      </c>
      <c r="G62" s="18" t="s">
        <v>58</v>
      </c>
      <c r="H62" s="19"/>
      <c r="N62" s="21">
        <v>2011707560</v>
      </c>
      <c r="O62" s="14" t="e">
        <f ca="1">[1]!terbilang(N62)</f>
        <v>#NAME?</v>
      </c>
      <c r="P62" s="19"/>
      <c r="Q62" s="116"/>
      <c r="R62" s="19"/>
      <c r="S62" s="19"/>
      <c r="T62" s="117"/>
      <c r="U62" s="19"/>
      <c r="V62" s="118"/>
      <c r="W62" s="19"/>
      <c r="X62" s="19"/>
      <c r="Y62" s="19"/>
      <c r="Z62" s="20"/>
      <c r="AA62" s="118"/>
      <c r="AB62" s="19"/>
      <c r="AC62" s="43"/>
      <c r="AD62" s="43" t="s">
        <v>970</v>
      </c>
      <c r="AE62" s="12">
        <v>10</v>
      </c>
      <c r="AF62" s="19" t="s">
        <v>75</v>
      </c>
      <c r="AG62" s="19">
        <v>2026</v>
      </c>
      <c r="AH62" s="20"/>
      <c r="AI62" s="20"/>
      <c r="AJ62" s="19" t="s">
        <v>65</v>
      </c>
      <c r="AK62" s="232"/>
      <c r="AL62" s="43" t="s">
        <v>968</v>
      </c>
      <c r="AM62" s="206" t="s">
        <v>963</v>
      </c>
      <c r="AN62" s="19" t="s">
        <v>81</v>
      </c>
      <c r="AO62" s="119" t="s">
        <v>62</v>
      </c>
      <c r="AP62" s="96" t="s">
        <v>63</v>
      </c>
      <c r="AQ62" s="97" t="s">
        <v>958</v>
      </c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K62" s="14"/>
    </row>
    <row r="63" spans="1:63" ht="97.5" customHeight="1" x14ac:dyDescent="0.25">
      <c r="B63" s="27" t="s">
        <v>848</v>
      </c>
      <c r="C63" s="14" t="s">
        <v>724</v>
      </c>
      <c r="D63" s="14" t="s">
        <v>64</v>
      </c>
      <c r="F63" s="18" t="s">
        <v>723</v>
      </c>
      <c r="G63" s="18" t="s">
        <v>58</v>
      </c>
      <c r="H63" s="19"/>
      <c r="N63" s="21">
        <v>21587044</v>
      </c>
      <c r="O63" s="14" t="e">
        <f ca="1">[1]!terbilang(N63)</f>
        <v>#NAME?</v>
      </c>
      <c r="P63" s="19" t="s">
        <v>65</v>
      </c>
      <c r="Q63" s="116"/>
      <c r="R63" s="19"/>
      <c r="S63" s="19"/>
      <c r="T63" s="117"/>
      <c r="U63" s="19"/>
      <c r="V63" s="118"/>
      <c r="W63" s="19"/>
      <c r="X63" s="19"/>
      <c r="Y63" s="19"/>
      <c r="Z63" s="20"/>
      <c r="AA63" s="118"/>
      <c r="AB63" s="19"/>
      <c r="AC63" s="43"/>
      <c r="AD63" s="43" t="s">
        <v>971</v>
      </c>
      <c r="AE63" s="12">
        <v>10</v>
      </c>
      <c r="AF63" s="19" t="s">
        <v>75</v>
      </c>
      <c r="AG63" s="19">
        <v>2026</v>
      </c>
      <c r="AH63" s="20"/>
      <c r="AI63" s="20"/>
      <c r="AJ63" s="19"/>
      <c r="AK63" s="232" t="s">
        <v>65</v>
      </c>
      <c r="AL63" s="43" t="s">
        <v>972</v>
      </c>
      <c r="AM63" s="206" t="s">
        <v>964</v>
      </c>
      <c r="AN63" s="22" t="s">
        <v>73</v>
      </c>
      <c r="AO63" s="95" t="s">
        <v>74</v>
      </c>
      <c r="AP63" s="96" t="s">
        <v>66</v>
      </c>
      <c r="AQ63" s="97" t="s">
        <v>959</v>
      </c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K63" s="14"/>
    </row>
    <row r="64" spans="1:63" ht="97.5" customHeight="1" x14ac:dyDescent="0.25">
      <c r="B64" s="27" t="s">
        <v>848</v>
      </c>
      <c r="C64" s="14" t="s">
        <v>722</v>
      </c>
      <c r="D64" s="14" t="s">
        <v>67</v>
      </c>
      <c r="F64" s="18" t="s">
        <v>723</v>
      </c>
      <c r="G64" s="18" t="s">
        <v>58</v>
      </c>
      <c r="H64" s="19"/>
      <c r="N64" s="21">
        <v>258938091</v>
      </c>
      <c r="O64" s="14" t="e">
        <f ca="1">[1]!terbilang(N64)</f>
        <v>#NAME?</v>
      </c>
      <c r="P64" s="19"/>
      <c r="Q64" s="116"/>
      <c r="R64" s="19"/>
      <c r="S64" s="19"/>
      <c r="T64" s="117"/>
      <c r="U64" s="19"/>
      <c r="V64" s="118"/>
      <c r="W64" s="19"/>
      <c r="X64" s="19"/>
      <c r="Y64" s="19"/>
      <c r="Z64" s="20"/>
      <c r="AA64" s="118"/>
      <c r="AB64" s="19"/>
      <c r="AC64" s="43"/>
      <c r="AD64" s="43" t="s">
        <v>975</v>
      </c>
      <c r="AE64" s="12">
        <v>10</v>
      </c>
      <c r="AF64" s="19" t="s">
        <v>75</v>
      </c>
      <c r="AG64" s="19">
        <v>2026</v>
      </c>
      <c r="AH64" s="20"/>
      <c r="AI64" s="20"/>
      <c r="AJ64" s="19"/>
      <c r="AK64" s="232"/>
      <c r="AL64" s="43" t="s">
        <v>973</v>
      </c>
      <c r="AM64" s="206" t="s">
        <v>965</v>
      </c>
      <c r="AN64" s="19" t="s">
        <v>81</v>
      </c>
      <c r="AO64" s="119" t="s">
        <v>62</v>
      </c>
      <c r="AP64" s="96" t="s">
        <v>63</v>
      </c>
      <c r="AQ64" s="97" t="s">
        <v>960</v>
      </c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K64" s="14"/>
    </row>
    <row r="65" spans="1:63" ht="97.5" customHeight="1" x14ac:dyDescent="0.25">
      <c r="B65" s="27" t="s">
        <v>848</v>
      </c>
      <c r="C65" s="14" t="s">
        <v>720</v>
      </c>
      <c r="D65" s="14" t="s">
        <v>68</v>
      </c>
      <c r="F65" s="18" t="s">
        <v>721</v>
      </c>
      <c r="G65" s="18" t="s">
        <v>58</v>
      </c>
      <c r="H65" s="19"/>
      <c r="N65" s="21">
        <v>3927242612</v>
      </c>
      <c r="O65" s="14" t="e">
        <f ca="1">[1]!terbilang(N65)</f>
        <v>#NAME?</v>
      </c>
      <c r="P65" s="19"/>
      <c r="Q65" s="116"/>
      <c r="R65" s="19"/>
      <c r="S65" s="19"/>
      <c r="T65" s="117"/>
      <c r="U65" s="19"/>
      <c r="V65" s="118"/>
      <c r="W65" s="19"/>
      <c r="X65" s="19"/>
      <c r="Y65" s="19"/>
      <c r="Z65" s="20"/>
      <c r="AA65" s="118"/>
      <c r="AB65" s="19"/>
      <c r="AC65" s="43"/>
      <c r="AD65" s="43" t="s">
        <v>976</v>
      </c>
      <c r="AE65" s="12">
        <v>10</v>
      </c>
      <c r="AF65" s="19" t="s">
        <v>75</v>
      </c>
      <c r="AG65" s="19">
        <v>2026</v>
      </c>
      <c r="AH65" s="20"/>
      <c r="AI65" s="20"/>
      <c r="AJ65" s="19"/>
      <c r="AK65" s="232"/>
      <c r="AL65" s="43" t="s">
        <v>974</v>
      </c>
      <c r="AM65" s="206" t="s">
        <v>966</v>
      </c>
      <c r="AN65" s="22" t="s">
        <v>71</v>
      </c>
      <c r="AO65" s="95" t="s">
        <v>72</v>
      </c>
      <c r="AP65" s="96" t="s">
        <v>60</v>
      </c>
      <c r="AQ65" s="97" t="s">
        <v>961</v>
      </c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K65" s="14"/>
    </row>
    <row r="66" spans="1:63" s="15" customFormat="1" ht="97.5" customHeight="1" x14ac:dyDescent="0.25">
      <c r="A66" s="12"/>
      <c r="B66" s="27" t="s">
        <v>694</v>
      </c>
      <c r="C66" s="14" t="s">
        <v>720</v>
      </c>
      <c r="D66" s="14" t="s">
        <v>68</v>
      </c>
      <c r="E66" s="13" t="s">
        <v>786</v>
      </c>
      <c r="F66" s="18" t="s">
        <v>745</v>
      </c>
      <c r="G66" s="18" t="s">
        <v>58</v>
      </c>
      <c r="H66" s="12"/>
      <c r="I66" s="12"/>
      <c r="J66" s="36"/>
      <c r="K66" s="16"/>
      <c r="L66" s="16"/>
      <c r="M66" s="12"/>
      <c r="N66" s="17">
        <v>5230000</v>
      </c>
      <c r="O66" s="14" t="e">
        <f ca="1">[1]!terbilang(N66)</f>
        <v>#NAME?</v>
      </c>
      <c r="P66" s="12"/>
      <c r="Q66" s="207"/>
      <c r="R66" s="12"/>
      <c r="S66" s="12"/>
      <c r="T66" s="117"/>
      <c r="U66" s="12"/>
      <c r="V66" s="36"/>
      <c r="W66" s="12"/>
      <c r="X66" s="12"/>
      <c r="Y66" s="12"/>
      <c r="Z66" s="16"/>
      <c r="AA66" s="36"/>
      <c r="AB66" s="12"/>
      <c r="AC66" s="41"/>
      <c r="AD66" s="43" t="s">
        <v>978</v>
      </c>
      <c r="AE66" s="12">
        <v>10</v>
      </c>
      <c r="AF66" s="19" t="s">
        <v>75</v>
      </c>
      <c r="AG66" s="19">
        <v>2026</v>
      </c>
      <c r="AH66" s="16"/>
      <c r="AI66" s="16"/>
      <c r="AJ66" s="12"/>
      <c r="AK66" s="234"/>
      <c r="AL66" s="43" t="s">
        <v>940</v>
      </c>
      <c r="AM66" s="205" t="s">
        <v>941</v>
      </c>
      <c r="AN66" s="22" t="s">
        <v>73</v>
      </c>
      <c r="AO66" s="95" t="s">
        <v>74</v>
      </c>
      <c r="AP66" s="96" t="s">
        <v>66</v>
      </c>
      <c r="AQ66" s="97" t="s">
        <v>977</v>
      </c>
      <c r="AR66" s="70"/>
      <c r="AS66" s="70"/>
      <c r="AT66" s="70"/>
      <c r="AW66" s="71"/>
      <c r="AX66" s="72"/>
      <c r="BJ66" s="71"/>
      <c r="BK66" s="13"/>
    </row>
    <row r="67" spans="1:63" s="15" customFormat="1" ht="97.5" customHeight="1" x14ac:dyDescent="0.25">
      <c r="A67" s="12"/>
      <c r="B67" s="27" t="s">
        <v>848</v>
      </c>
      <c r="C67" s="14" t="s">
        <v>720</v>
      </c>
      <c r="D67" s="14" t="s">
        <v>68</v>
      </c>
      <c r="E67" s="13" t="s">
        <v>744</v>
      </c>
      <c r="F67" s="18" t="s">
        <v>745</v>
      </c>
      <c r="G67" s="18" t="s">
        <v>58</v>
      </c>
      <c r="H67" s="12"/>
      <c r="I67" s="12"/>
      <c r="J67" s="36"/>
      <c r="K67" s="16"/>
      <c r="L67" s="16"/>
      <c r="M67" s="12"/>
      <c r="N67" s="17">
        <v>5230000</v>
      </c>
      <c r="O67" s="14" t="e">
        <f ca="1">[1]!terbilang(N67)</f>
        <v>#NAME?</v>
      </c>
      <c r="P67" s="12"/>
      <c r="Q67" s="207"/>
      <c r="R67" s="12"/>
      <c r="S67" s="12"/>
      <c r="T67" s="117"/>
      <c r="U67" s="12"/>
      <c r="V67" s="36"/>
      <c r="W67" s="12"/>
      <c r="X67" s="12"/>
      <c r="Y67" s="12"/>
      <c r="Z67" s="16"/>
      <c r="AA67" s="36"/>
      <c r="AB67" s="12"/>
      <c r="AC67" s="41"/>
      <c r="AD67" s="43" t="s">
        <v>980</v>
      </c>
      <c r="AE67" s="12">
        <v>10</v>
      </c>
      <c r="AF67" s="19" t="s">
        <v>75</v>
      </c>
      <c r="AG67" s="19">
        <v>2026</v>
      </c>
      <c r="AH67" s="16"/>
      <c r="AI67" s="16"/>
      <c r="AJ67" s="12"/>
      <c r="AK67" s="234"/>
      <c r="AL67" s="43" t="s">
        <v>954</v>
      </c>
      <c r="AM67" s="205" t="s">
        <v>955</v>
      </c>
      <c r="AN67" s="22" t="s">
        <v>71</v>
      </c>
      <c r="AO67" s="95" t="s">
        <v>72</v>
      </c>
      <c r="AP67" s="96" t="s">
        <v>60</v>
      </c>
      <c r="AQ67" s="97" t="s">
        <v>956</v>
      </c>
      <c r="AR67" s="70"/>
      <c r="AS67" s="70"/>
      <c r="AT67" s="70"/>
      <c r="AW67" s="71"/>
      <c r="AX67" s="72"/>
      <c r="BJ67" s="71"/>
      <c r="BK67" s="13"/>
    </row>
    <row r="68" spans="1:63" s="15" customFormat="1" ht="97.5" customHeight="1" x14ac:dyDescent="0.25">
      <c r="A68" s="12"/>
      <c r="B68" s="27" t="s">
        <v>848</v>
      </c>
      <c r="C68" s="14" t="s">
        <v>720</v>
      </c>
      <c r="D68" s="14" t="s">
        <v>68</v>
      </c>
      <c r="E68" s="13" t="s">
        <v>744</v>
      </c>
      <c r="F68" s="18" t="s">
        <v>745</v>
      </c>
      <c r="G68" s="18" t="s">
        <v>58</v>
      </c>
      <c r="H68" s="12"/>
      <c r="I68" s="12"/>
      <c r="J68" s="36"/>
      <c r="K68" s="16"/>
      <c r="L68" s="16"/>
      <c r="M68" s="12"/>
      <c r="N68" s="17">
        <v>5230000</v>
      </c>
      <c r="O68" s="14" t="e">
        <f ca="1">[1]!terbilang(N68)</f>
        <v>#NAME?</v>
      </c>
      <c r="P68" s="12"/>
      <c r="Q68" s="207"/>
      <c r="R68" s="12"/>
      <c r="S68" s="12"/>
      <c r="T68" s="117"/>
      <c r="U68" s="12"/>
      <c r="V68" s="36"/>
      <c r="W68" s="12"/>
      <c r="X68" s="12"/>
      <c r="Y68" s="12"/>
      <c r="Z68" s="16"/>
      <c r="AA68" s="36"/>
      <c r="AB68" s="12"/>
      <c r="AC68" s="41"/>
      <c r="AD68" s="43" t="s">
        <v>981</v>
      </c>
      <c r="AE68" s="12">
        <v>10</v>
      </c>
      <c r="AF68" s="19" t="s">
        <v>75</v>
      </c>
      <c r="AG68" s="19">
        <v>2026</v>
      </c>
      <c r="AH68" s="16"/>
      <c r="AI68" s="16"/>
      <c r="AJ68" s="12"/>
      <c r="AK68" s="234"/>
      <c r="AL68" s="43" t="s">
        <v>945</v>
      </c>
      <c r="AM68" s="205" t="s">
        <v>944</v>
      </c>
      <c r="AN68" s="22" t="s">
        <v>71</v>
      </c>
      <c r="AO68" s="95" t="s">
        <v>72</v>
      </c>
      <c r="AP68" s="96" t="s">
        <v>60</v>
      </c>
      <c r="AQ68" s="97" t="s">
        <v>979</v>
      </c>
      <c r="AR68" s="70"/>
      <c r="AS68" s="70"/>
      <c r="AT68" s="70"/>
      <c r="AW68" s="71"/>
      <c r="AX68" s="72"/>
      <c r="BJ68" s="71"/>
      <c r="BK68" s="13"/>
    </row>
    <row r="69" spans="1:63" s="23" customFormat="1" ht="97.5" customHeight="1" x14ac:dyDescent="0.25">
      <c r="A69" s="22"/>
      <c r="B69" s="27" t="s">
        <v>694</v>
      </c>
      <c r="C69" s="11" t="s">
        <v>57</v>
      </c>
      <c r="D69" s="11" t="s">
        <v>59</v>
      </c>
      <c r="E69" s="11"/>
      <c r="F69" s="23" t="s">
        <v>726</v>
      </c>
      <c r="G69" s="23" t="s">
        <v>58</v>
      </c>
      <c r="H69" s="22"/>
      <c r="I69" s="22"/>
      <c r="J69" s="22"/>
      <c r="K69" s="24"/>
      <c r="L69" s="24"/>
      <c r="M69" s="22"/>
      <c r="N69" s="25">
        <v>6812325</v>
      </c>
      <c r="O69" s="14" t="e">
        <f ca="1">[1]!terbilang(N69)</f>
        <v>#NAME?</v>
      </c>
      <c r="P69" s="22"/>
      <c r="Q69" s="104"/>
      <c r="R69" s="22"/>
      <c r="S69" s="22"/>
      <c r="T69" s="105"/>
      <c r="U69" s="22"/>
      <c r="V69" s="106"/>
      <c r="W69" s="22"/>
      <c r="X69" s="22"/>
      <c r="Y69" s="22"/>
      <c r="Z69" s="24"/>
      <c r="AA69" s="106"/>
      <c r="AB69" s="22"/>
      <c r="AC69" s="107"/>
      <c r="AD69" s="43" t="s">
        <v>994</v>
      </c>
      <c r="AE69" s="12">
        <v>12</v>
      </c>
      <c r="AF69" s="19" t="s">
        <v>75</v>
      </c>
      <c r="AG69" s="19">
        <v>2026</v>
      </c>
      <c r="AH69" s="24"/>
      <c r="AI69" s="24"/>
      <c r="AJ69" s="22"/>
      <c r="AK69" s="231"/>
      <c r="AL69" s="107" t="s">
        <v>987</v>
      </c>
      <c r="AM69" s="206" t="s">
        <v>983</v>
      </c>
      <c r="AN69" s="22" t="s">
        <v>71</v>
      </c>
      <c r="AO69" s="95" t="s">
        <v>72</v>
      </c>
      <c r="AP69" s="96" t="s">
        <v>60</v>
      </c>
      <c r="AQ69" s="97" t="s">
        <v>982</v>
      </c>
      <c r="AR69" s="28"/>
      <c r="AS69" s="28"/>
      <c r="AT69" s="28"/>
      <c r="AW69" s="29"/>
      <c r="BJ69" s="29"/>
      <c r="BK69" s="11"/>
    </row>
    <row r="70" spans="1:63" ht="97.5" customHeight="1" x14ac:dyDescent="0.25">
      <c r="B70" s="27" t="s">
        <v>694</v>
      </c>
      <c r="C70" s="14" t="s">
        <v>77</v>
      </c>
      <c r="D70" s="14" t="s">
        <v>61</v>
      </c>
      <c r="F70" s="23" t="s">
        <v>731</v>
      </c>
      <c r="G70" s="18" t="s">
        <v>58</v>
      </c>
      <c r="H70" s="19"/>
      <c r="N70" s="21">
        <v>798583500</v>
      </c>
      <c r="O70" s="14" t="e">
        <f ca="1">[1]!terbilang(N70)</f>
        <v>#NAME?</v>
      </c>
      <c r="P70" s="19"/>
      <c r="Q70" s="116"/>
      <c r="R70" s="19"/>
      <c r="S70" s="19"/>
      <c r="T70" s="117"/>
      <c r="U70" s="19"/>
      <c r="V70" s="118"/>
      <c r="W70" s="19"/>
      <c r="X70" s="19"/>
      <c r="Y70" s="19"/>
      <c r="Z70" s="20"/>
      <c r="AA70" s="118"/>
      <c r="AB70" s="19"/>
      <c r="AC70" s="43"/>
      <c r="AD70" s="43" t="s">
        <v>995</v>
      </c>
      <c r="AE70" s="12">
        <v>12</v>
      </c>
      <c r="AF70" s="19" t="s">
        <v>75</v>
      </c>
      <c r="AG70" s="19">
        <v>2026</v>
      </c>
      <c r="AH70" s="20"/>
      <c r="AI70" s="20"/>
      <c r="AJ70" s="19" t="s">
        <v>65</v>
      </c>
      <c r="AK70" s="232"/>
      <c r="AL70" s="107" t="s">
        <v>988</v>
      </c>
      <c r="AM70" s="206" t="s">
        <v>984</v>
      </c>
      <c r="AN70" s="19" t="s">
        <v>81</v>
      </c>
      <c r="AO70" s="119" t="s">
        <v>62</v>
      </c>
      <c r="AP70" s="96" t="s">
        <v>63</v>
      </c>
      <c r="AQ70" s="97" t="s">
        <v>991</v>
      </c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K70" s="14"/>
    </row>
    <row r="71" spans="1:63" ht="97.5" customHeight="1" x14ac:dyDescent="0.25">
      <c r="B71" s="27" t="s">
        <v>694</v>
      </c>
      <c r="C71" s="14" t="s">
        <v>722</v>
      </c>
      <c r="D71" s="14" t="s">
        <v>67</v>
      </c>
      <c r="F71" s="23" t="s">
        <v>726</v>
      </c>
      <c r="G71" s="18" t="s">
        <v>58</v>
      </c>
      <c r="H71" s="19"/>
      <c r="N71" s="21">
        <v>21587044</v>
      </c>
      <c r="O71" s="14" t="e">
        <f ca="1">[1]!terbilang(N71)</f>
        <v>#NAME?</v>
      </c>
      <c r="P71" s="19"/>
      <c r="Q71" s="116"/>
      <c r="R71" s="19"/>
      <c r="S71" s="19"/>
      <c r="T71" s="117"/>
      <c r="U71" s="19"/>
      <c r="V71" s="118"/>
      <c r="W71" s="19"/>
      <c r="X71" s="19"/>
      <c r="Y71" s="19"/>
      <c r="Z71" s="20"/>
      <c r="AA71" s="118"/>
      <c r="AB71" s="19"/>
      <c r="AC71" s="43"/>
      <c r="AD71" s="43" t="s">
        <v>996</v>
      </c>
      <c r="AE71" s="12">
        <v>12</v>
      </c>
      <c r="AF71" s="19" t="s">
        <v>75</v>
      </c>
      <c r="AG71" s="19">
        <v>2026</v>
      </c>
      <c r="AH71" s="20"/>
      <c r="AI71" s="20"/>
      <c r="AJ71" s="19"/>
      <c r="AK71" s="232"/>
      <c r="AL71" s="107" t="s">
        <v>989</v>
      </c>
      <c r="AM71" s="206" t="s">
        <v>985</v>
      </c>
      <c r="AN71" s="19" t="s">
        <v>81</v>
      </c>
      <c r="AO71" s="119" t="s">
        <v>62</v>
      </c>
      <c r="AP71" s="96" t="s">
        <v>63</v>
      </c>
      <c r="AQ71" s="97" t="s">
        <v>992</v>
      </c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K71" s="14"/>
    </row>
    <row r="72" spans="1:63" ht="97.5" customHeight="1" x14ac:dyDescent="0.25">
      <c r="B72" s="27" t="s">
        <v>694</v>
      </c>
      <c r="C72" s="14" t="s">
        <v>720</v>
      </c>
      <c r="D72" s="14" t="s">
        <v>68</v>
      </c>
      <c r="F72" s="18" t="s">
        <v>721</v>
      </c>
      <c r="G72" s="18" t="s">
        <v>58</v>
      </c>
      <c r="H72" s="19"/>
      <c r="N72" s="21">
        <v>16753522</v>
      </c>
      <c r="O72" s="14" t="e">
        <f ca="1">[1]!terbilang(N72)</f>
        <v>#NAME?</v>
      </c>
      <c r="P72" s="19"/>
      <c r="Q72" s="116"/>
      <c r="R72" s="19"/>
      <c r="S72" s="19"/>
      <c r="T72" s="117"/>
      <c r="U72" s="19"/>
      <c r="V72" s="118"/>
      <c r="W72" s="19"/>
      <c r="X72" s="19"/>
      <c r="Y72" s="19"/>
      <c r="Z72" s="20"/>
      <c r="AA72" s="118"/>
      <c r="AB72" s="19"/>
      <c r="AC72" s="43"/>
      <c r="AD72" s="43" t="s">
        <v>997</v>
      </c>
      <c r="AE72" s="12">
        <v>12</v>
      </c>
      <c r="AF72" s="19" t="s">
        <v>75</v>
      </c>
      <c r="AG72" s="19">
        <v>2026</v>
      </c>
      <c r="AH72" s="20"/>
      <c r="AI72" s="20"/>
      <c r="AJ72" s="19"/>
      <c r="AK72" s="232"/>
      <c r="AL72" s="107" t="s">
        <v>990</v>
      </c>
      <c r="AM72" s="206" t="s">
        <v>986</v>
      </c>
      <c r="AN72" s="22" t="s">
        <v>71</v>
      </c>
      <c r="AO72" s="95" t="s">
        <v>72</v>
      </c>
      <c r="AP72" s="96" t="s">
        <v>60</v>
      </c>
      <c r="AQ72" s="97" t="s">
        <v>993</v>
      </c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K72" s="14"/>
    </row>
    <row r="73" spans="1:63" s="23" customFormat="1" ht="97.5" customHeight="1" x14ac:dyDescent="0.25">
      <c r="A73" s="22"/>
      <c r="B73" s="27" t="s">
        <v>848</v>
      </c>
      <c r="C73" s="11" t="s">
        <v>57</v>
      </c>
      <c r="D73" s="11" t="s">
        <v>59</v>
      </c>
      <c r="E73" s="11"/>
      <c r="F73" s="23" t="s">
        <v>811</v>
      </c>
      <c r="G73" s="23" t="s">
        <v>58</v>
      </c>
      <c r="H73" s="22"/>
      <c r="I73" s="22"/>
      <c r="J73" s="22"/>
      <c r="K73" s="24"/>
      <c r="L73" s="24"/>
      <c r="M73" s="22"/>
      <c r="N73" s="25">
        <v>1551230</v>
      </c>
      <c r="O73" s="14" t="e">
        <f ca="1">[1]!terbilang(N73)</f>
        <v>#NAME?</v>
      </c>
      <c r="P73" s="22"/>
      <c r="Q73" s="104"/>
      <c r="R73" s="22"/>
      <c r="S73" s="22"/>
      <c r="T73" s="105"/>
      <c r="U73" s="22"/>
      <c r="V73" s="106"/>
      <c r="W73" s="22"/>
      <c r="X73" s="22"/>
      <c r="Y73" s="22"/>
      <c r="Z73" s="24"/>
      <c r="AA73" s="106"/>
      <c r="AB73" s="22"/>
      <c r="AC73" s="107"/>
      <c r="AD73" s="43" t="s">
        <v>998</v>
      </c>
      <c r="AE73" s="12">
        <v>25</v>
      </c>
      <c r="AF73" s="19" t="s">
        <v>75</v>
      </c>
      <c r="AG73" s="19">
        <v>2026</v>
      </c>
      <c r="AH73" s="24"/>
      <c r="AI73" s="24"/>
      <c r="AJ73" s="22"/>
      <c r="AK73" s="231"/>
      <c r="AL73" s="107" t="s">
        <v>999</v>
      </c>
      <c r="AM73" s="205" t="s">
        <v>1000</v>
      </c>
      <c r="AN73" s="22" t="s">
        <v>71</v>
      </c>
      <c r="AO73" s="95" t="s">
        <v>72</v>
      </c>
      <c r="AP73" s="96" t="s">
        <v>60</v>
      </c>
      <c r="AQ73" s="97" t="s">
        <v>1005</v>
      </c>
      <c r="AR73" s="28"/>
      <c r="AS73" s="28"/>
      <c r="AT73" s="28"/>
      <c r="AW73" s="29"/>
      <c r="BJ73" s="29"/>
      <c r="BK73" s="11"/>
    </row>
    <row r="74" spans="1:63" ht="97.5" customHeight="1" x14ac:dyDescent="0.25">
      <c r="B74" s="27" t="s">
        <v>848</v>
      </c>
      <c r="C74" s="47" t="s">
        <v>77</v>
      </c>
      <c r="D74" s="47" t="s">
        <v>61</v>
      </c>
      <c r="E74" s="47"/>
      <c r="F74" s="73" t="s">
        <v>811</v>
      </c>
      <c r="G74" s="38" t="s">
        <v>58</v>
      </c>
      <c r="H74" s="19"/>
      <c r="N74" s="21">
        <v>10926696</v>
      </c>
      <c r="O74" s="14" t="e">
        <f ca="1">[1]!terbilang(N74)</f>
        <v>#NAME?</v>
      </c>
      <c r="P74" s="19"/>
      <c r="Q74" s="116"/>
      <c r="R74" s="19"/>
      <c r="S74" s="19"/>
      <c r="T74" s="117"/>
      <c r="U74" s="19"/>
      <c r="V74" s="118"/>
      <c r="W74" s="19"/>
      <c r="X74" s="19"/>
      <c r="Y74" s="19"/>
      <c r="Z74" s="20"/>
      <c r="AA74" s="118"/>
      <c r="AB74" s="19"/>
      <c r="AC74" s="43"/>
      <c r="AD74" s="43" t="s">
        <v>1001</v>
      </c>
      <c r="AE74" s="12">
        <v>25</v>
      </c>
      <c r="AF74" s="19" t="s">
        <v>75</v>
      </c>
      <c r="AG74" s="19">
        <v>2026</v>
      </c>
      <c r="AH74" s="20"/>
      <c r="AI74" s="20"/>
      <c r="AJ74" s="19" t="s">
        <v>65</v>
      </c>
      <c r="AK74" s="232"/>
      <c r="AL74" s="43" t="s">
        <v>1002</v>
      </c>
      <c r="AM74" s="205" t="s">
        <v>1003</v>
      </c>
      <c r="AN74" s="19" t="s">
        <v>81</v>
      </c>
      <c r="AO74" s="119" t="s">
        <v>62</v>
      </c>
      <c r="AP74" s="96" t="s">
        <v>63</v>
      </c>
      <c r="AQ74" s="97" t="s">
        <v>1004</v>
      </c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K74" s="14"/>
    </row>
    <row r="75" spans="1:63" ht="97.5" customHeight="1" x14ac:dyDescent="0.25">
      <c r="B75" s="27" t="s">
        <v>848</v>
      </c>
      <c r="C75" s="47" t="s">
        <v>724</v>
      </c>
      <c r="D75" s="47" t="s">
        <v>64</v>
      </c>
      <c r="E75" s="47"/>
      <c r="F75" s="73" t="s">
        <v>811</v>
      </c>
      <c r="G75" s="38" t="s">
        <v>58</v>
      </c>
      <c r="H75" s="19"/>
      <c r="N75" s="21">
        <v>116576</v>
      </c>
      <c r="O75" s="14" t="e">
        <f ca="1">[1]!terbilang(N75)</f>
        <v>#NAME?</v>
      </c>
      <c r="P75" s="19" t="s">
        <v>65</v>
      </c>
      <c r="Q75" s="116"/>
      <c r="R75" s="19"/>
      <c r="S75" s="19"/>
      <c r="T75" s="117"/>
      <c r="U75" s="19"/>
      <c r="V75" s="118"/>
      <c r="W75" s="19"/>
      <c r="X75" s="19"/>
      <c r="Y75" s="19"/>
      <c r="Z75" s="20"/>
      <c r="AA75" s="118"/>
      <c r="AB75" s="19"/>
      <c r="AC75" s="43"/>
      <c r="AD75" s="43" t="s">
        <v>1006</v>
      </c>
      <c r="AE75" s="12">
        <v>25</v>
      </c>
      <c r="AF75" s="19" t="s">
        <v>75</v>
      </c>
      <c r="AG75" s="19">
        <v>2026</v>
      </c>
      <c r="AH75" s="20"/>
      <c r="AI75" s="20"/>
      <c r="AJ75" s="19"/>
      <c r="AK75" s="232" t="s">
        <v>65</v>
      </c>
      <c r="AL75" s="43" t="s">
        <v>1007</v>
      </c>
      <c r="AM75" s="205" t="s">
        <v>1008</v>
      </c>
      <c r="AN75" s="22" t="s">
        <v>73</v>
      </c>
      <c r="AO75" s="95" t="s">
        <v>74</v>
      </c>
      <c r="AP75" s="96" t="s">
        <v>66</v>
      </c>
      <c r="AQ75" s="97" t="s">
        <v>1009</v>
      </c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K75" s="14"/>
    </row>
    <row r="76" spans="1:63" ht="97.5" customHeight="1" x14ac:dyDescent="0.25">
      <c r="B76" s="27" t="s">
        <v>848</v>
      </c>
      <c r="C76" s="47" t="s">
        <v>722</v>
      </c>
      <c r="D76" s="47" t="s">
        <v>67</v>
      </c>
      <c r="E76" s="47"/>
      <c r="F76" s="73" t="s">
        <v>811</v>
      </c>
      <c r="G76" s="38" t="s">
        <v>58</v>
      </c>
      <c r="H76" s="19"/>
      <c r="N76" s="21">
        <v>1428056</v>
      </c>
      <c r="O76" s="14" t="e">
        <f ca="1">[1]!terbilang(N76)</f>
        <v>#NAME?</v>
      </c>
      <c r="P76" s="19"/>
      <c r="Q76" s="116"/>
      <c r="R76" s="19"/>
      <c r="S76" s="19"/>
      <c r="T76" s="117"/>
      <c r="U76" s="19"/>
      <c r="V76" s="118"/>
      <c r="W76" s="19"/>
      <c r="X76" s="19"/>
      <c r="Y76" s="19"/>
      <c r="Z76" s="20"/>
      <c r="AA76" s="118"/>
      <c r="AB76" s="19"/>
      <c r="AC76" s="43"/>
      <c r="AD76" s="43" t="s">
        <v>1010</v>
      </c>
      <c r="AE76" s="12">
        <v>25</v>
      </c>
      <c r="AF76" s="19" t="s">
        <v>75</v>
      </c>
      <c r="AG76" s="19">
        <v>2026</v>
      </c>
      <c r="AH76" s="20"/>
      <c r="AI76" s="20"/>
      <c r="AJ76" s="19"/>
      <c r="AK76" s="232"/>
      <c r="AL76" s="43" t="s">
        <v>1011</v>
      </c>
      <c r="AM76" s="205" t="s">
        <v>1012</v>
      </c>
      <c r="AN76" s="19" t="s">
        <v>81</v>
      </c>
      <c r="AO76" s="119" t="s">
        <v>62</v>
      </c>
      <c r="AP76" s="96" t="s">
        <v>63</v>
      </c>
      <c r="AQ76" s="97" t="s">
        <v>1013</v>
      </c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K76" s="14"/>
    </row>
    <row r="77" spans="1:63" ht="97.5" customHeight="1" x14ac:dyDescent="0.25">
      <c r="B77" s="27" t="s">
        <v>848</v>
      </c>
      <c r="C77" s="47" t="s">
        <v>720</v>
      </c>
      <c r="D77" s="47" t="s">
        <v>68</v>
      </c>
      <c r="E77" s="47"/>
      <c r="F77" s="73" t="s">
        <v>811</v>
      </c>
      <c r="G77" s="38" t="s">
        <v>58</v>
      </c>
      <c r="H77" s="19"/>
      <c r="N77" s="21">
        <v>21550519</v>
      </c>
      <c r="O77" s="14" t="e">
        <f ca="1">[1]!terbilang(N77)</f>
        <v>#NAME?</v>
      </c>
      <c r="P77" s="19"/>
      <c r="Q77" s="116"/>
      <c r="R77" s="19"/>
      <c r="S77" s="19"/>
      <c r="T77" s="117"/>
      <c r="U77" s="19"/>
      <c r="V77" s="118"/>
      <c r="W77" s="19"/>
      <c r="X77" s="19"/>
      <c r="Y77" s="19"/>
      <c r="Z77" s="20"/>
      <c r="AA77" s="118"/>
      <c r="AB77" s="19"/>
      <c r="AC77" s="43"/>
      <c r="AD77" s="43" t="s">
        <v>1014</v>
      </c>
      <c r="AE77" s="12">
        <v>25</v>
      </c>
      <c r="AF77" s="19" t="s">
        <v>75</v>
      </c>
      <c r="AG77" s="19">
        <v>2026</v>
      </c>
      <c r="AH77" s="20"/>
      <c r="AI77" s="20"/>
      <c r="AJ77" s="19"/>
      <c r="AK77" s="232"/>
      <c r="AL77" s="43" t="s">
        <v>1015</v>
      </c>
      <c r="AM77" s="205" t="s">
        <v>1016</v>
      </c>
      <c r="AN77" s="22" t="s">
        <v>71</v>
      </c>
      <c r="AO77" s="95" t="s">
        <v>72</v>
      </c>
      <c r="AP77" s="96" t="s">
        <v>60</v>
      </c>
      <c r="AQ77" s="97" t="s">
        <v>1017</v>
      </c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K77" s="14"/>
    </row>
    <row r="78" spans="1:63" ht="97.5" customHeight="1" x14ac:dyDescent="0.25">
      <c r="B78" s="27" t="s">
        <v>848</v>
      </c>
      <c r="C78" s="47" t="s">
        <v>722</v>
      </c>
      <c r="D78" s="47" t="s">
        <v>67</v>
      </c>
      <c r="E78" s="47"/>
      <c r="F78" s="73" t="s">
        <v>811</v>
      </c>
      <c r="G78" s="38" t="s">
        <v>58</v>
      </c>
      <c r="H78" s="19"/>
      <c r="N78" s="21">
        <v>116576</v>
      </c>
      <c r="O78" s="14" t="e">
        <f ca="1">[1]!terbilang(N78)</f>
        <v>#NAME?</v>
      </c>
      <c r="P78" s="19"/>
      <c r="Q78" s="116"/>
      <c r="R78" s="19"/>
      <c r="S78" s="19"/>
      <c r="T78" s="117"/>
      <c r="U78" s="19"/>
      <c r="V78" s="118"/>
      <c r="W78" s="19"/>
      <c r="X78" s="19"/>
      <c r="Y78" s="19"/>
      <c r="Z78" s="20"/>
      <c r="AA78" s="118"/>
      <c r="AB78" s="19"/>
      <c r="AC78" s="43"/>
      <c r="AD78" s="43" t="s">
        <v>1023</v>
      </c>
      <c r="AE78" s="12">
        <v>25</v>
      </c>
      <c r="AF78" s="19" t="s">
        <v>75</v>
      </c>
      <c r="AG78" s="19">
        <v>2026</v>
      </c>
      <c r="AH78" s="20"/>
      <c r="AI78" s="20"/>
      <c r="AJ78" s="19"/>
      <c r="AK78" s="232"/>
      <c r="AL78" s="107" t="s">
        <v>1024</v>
      </c>
      <c r="AM78" s="205" t="s">
        <v>1025</v>
      </c>
      <c r="AN78" s="19" t="s">
        <v>81</v>
      </c>
      <c r="AO78" s="119" t="s">
        <v>62</v>
      </c>
      <c r="AP78" s="96" t="s">
        <v>63</v>
      </c>
      <c r="AQ78" s="97" t="s">
        <v>1026</v>
      </c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K78" s="14"/>
    </row>
    <row r="79" spans="1:63" s="23" customFormat="1" ht="97.5" customHeight="1" x14ac:dyDescent="0.25">
      <c r="A79" s="22"/>
      <c r="B79" s="74" t="s">
        <v>694</v>
      </c>
      <c r="C79" s="47" t="s">
        <v>720</v>
      </c>
      <c r="D79" s="14" t="s">
        <v>68</v>
      </c>
      <c r="E79" s="75"/>
      <c r="F79" s="73" t="s">
        <v>811</v>
      </c>
      <c r="G79" s="73" t="s">
        <v>58</v>
      </c>
      <c r="H79" s="22"/>
      <c r="I79" s="22"/>
      <c r="J79" s="22"/>
      <c r="K79" s="24"/>
      <c r="L79" s="24"/>
      <c r="M79" s="22"/>
      <c r="N79" s="25">
        <v>90472</v>
      </c>
      <c r="O79" s="14" t="e">
        <f ca="1">[1]!terbilang(N79)</f>
        <v>#NAME?</v>
      </c>
      <c r="P79" s="22"/>
      <c r="Q79" s="104"/>
      <c r="R79" s="22"/>
      <c r="S79" s="22"/>
      <c r="T79" s="105"/>
      <c r="U79" s="22"/>
      <c r="V79" s="106"/>
      <c r="W79" s="22"/>
      <c r="X79" s="22"/>
      <c r="Y79" s="22"/>
      <c r="Z79" s="24"/>
      <c r="AA79" s="106"/>
      <c r="AB79" s="22"/>
      <c r="AC79" s="107"/>
      <c r="AD79" s="43" t="s">
        <v>1027</v>
      </c>
      <c r="AE79" s="12">
        <v>25</v>
      </c>
      <c r="AF79" s="19" t="s">
        <v>75</v>
      </c>
      <c r="AG79" s="19">
        <v>2026</v>
      </c>
      <c r="AH79" s="24"/>
      <c r="AI79" s="24"/>
      <c r="AJ79" s="22"/>
      <c r="AK79" s="231"/>
      <c r="AL79" s="107" t="s">
        <v>1028</v>
      </c>
      <c r="AM79" s="205" t="s">
        <v>1029</v>
      </c>
      <c r="AN79" s="22" t="s">
        <v>71</v>
      </c>
      <c r="AO79" s="95" t="s">
        <v>72</v>
      </c>
      <c r="AP79" s="96" t="s">
        <v>60</v>
      </c>
      <c r="AQ79" s="97" t="s">
        <v>1030</v>
      </c>
      <c r="AR79" s="28"/>
      <c r="AS79" s="28"/>
      <c r="AT79" s="28"/>
      <c r="AW79" s="29"/>
      <c r="BJ79" s="29"/>
      <c r="BK79" s="11"/>
    </row>
    <row r="80" spans="1:63" ht="97.5" customHeight="1" x14ac:dyDescent="0.25">
      <c r="B80" s="27" t="s">
        <v>694</v>
      </c>
      <c r="C80" s="11" t="s">
        <v>57</v>
      </c>
      <c r="D80" s="11" t="s">
        <v>59</v>
      </c>
      <c r="F80" s="23" t="s">
        <v>811</v>
      </c>
      <c r="G80" s="18" t="s">
        <v>58</v>
      </c>
      <c r="H80" s="19"/>
      <c r="N80" s="21">
        <v>36787</v>
      </c>
      <c r="O80" s="14" t="e">
        <f ca="1">[1]!terbilang(N80)</f>
        <v>#NAME?</v>
      </c>
      <c r="P80" s="19"/>
      <c r="Q80" s="116"/>
      <c r="R80" s="19"/>
      <c r="S80" s="19"/>
      <c r="T80" s="117"/>
      <c r="U80" s="19"/>
      <c r="V80" s="118"/>
      <c r="W80" s="19"/>
      <c r="X80" s="19"/>
      <c r="Y80" s="19"/>
      <c r="Z80" s="20"/>
      <c r="AA80" s="118"/>
      <c r="AB80" s="19"/>
      <c r="AC80" s="43"/>
      <c r="AD80" s="43" t="s">
        <v>1031</v>
      </c>
      <c r="AE80" s="12">
        <v>30</v>
      </c>
      <c r="AF80" s="19" t="s">
        <v>75</v>
      </c>
      <c r="AG80" s="19">
        <v>2026</v>
      </c>
      <c r="AH80" s="20"/>
      <c r="AI80" s="20"/>
      <c r="AJ80" s="19" t="s">
        <v>65</v>
      </c>
      <c r="AK80" s="232"/>
      <c r="AL80" s="107" t="s">
        <v>1020</v>
      </c>
      <c r="AM80" s="205" t="s">
        <v>1019</v>
      </c>
      <c r="AN80" s="22" t="s">
        <v>71</v>
      </c>
      <c r="AO80" s="95" t="s">
        <v>72</v>
      </c>
      <c r="AP80" s="96" t="s">
        <v>60</v>
      </c>
      <c r="AQ80" s="97" t="s">
        <v>1032</v>
      </c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K80" s="14"/>
    </row>
    <row r="81" spans="1:67" ht="97.5" customHeight="1" x14ac:dyDescent="0.25">
      <c r="B81" s="27" t="s">
        <v>848</v>
      </c>
      <c r="C81" s="47" t="s">
        <v>1021</v>
      </c>
      <c r="D81" s="47" t="s">
        <v>61</v>
      </c>
      <c r="E81" s="47"/>
      <c r="F81" s="73" t="s">
        <v>811</v>
      </c>
      <c r="G81" s="38" t="s">
        <v>58</v>
      </c>
      <c r="H81" s="19"/>
      <c r="N81" s="21">
        <v>4312548</v>
      </c>
      <c r="O81" s="14" t="e">
        <f ca="1">[1]!terbilang(N81)</f>
        <v>#NAME?</v>
      </c>
      <c r="P81" s="19"/>
      <c r="Q81" s="116"/>
      <c r="R81" s="19"/>
      <c r="S81" s="19"/>
      <c r="T81" s="117"/>
      <c r="U81" s="19"/>
      <c r="V81" s="118"/>
      <c r="W81" s="19"/>
      <c r="X81" s="19"/>
      <c r="Y81" s="19"/>
      <c r="Z81" s="20"/>
      <c r="AA81" s="118"/>
      <c r="AB81" s="19"/>
      <c r="AC81" s="43"/>
      <c r="AD81" s="43" t="s">
        <v>1033</v>
      </c>
      <c r="AE81" s="12">
        <v>30</v>
      </c>
      <c r="AF81" s="19" t="s">
        <v>75</v>
      </c>
      <c r="AG81" s="19">
        <v>2026</v>
      </c>
      <c r="AH81" s="20"/>
      <c r="AI81" s="20"/>
      <c r="AJ81" s="19"/>
      <c r="AK81" s="232"/>
      <c r="AL81" s="107" t="s">
        <v>1018</v>
      </c>
      <c r="AM81" s="205" t="s">
        <v>1022</v>
      </c>
      <c r="AN81" s="19" t="s">
        <v>81</v>
      </c>
      <c r="AO81" s="119" t="s">
        <v>62</v>
      </c>
      <c r="AP81" s="96" t="s">
        <v>63</v>
      </c>
      <c r="AQ81" s="97" t="s">
        <v>1034</v>
      </c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K81" s="14"/>
    </row>
    <row r="82" spans="1:67" s="73" customFormat="1" ht="97.5" customHeight="1" x14ac:dyDescent="0.25">
      <c r="A82" s="48"/>
      <c r="B82" s="27" t="s">
        <v>848</v>
      </c>
      <c r="C82" s="75" t="s">
        <v>57</v>
      </c>
      <c r="D82" s="75" t="s">
        <v>59</v>
      </c>
      <c r="E82" s="75"/>
      <c r="F82" s="73" t="s">
        <v>725</v>
      </c>
      <c r="G82" s="73" t="s">
        <v>58</v>
      </c>
      <c r="H82" s="48"/>
      <c r="I82" s="48"/>
      <c r="J82" s="48"/>
      <c r="K82" s="76"/>
      <c r="L82" s="76"/>
      <c r="M82" s="48"/>
      <c r="N82" s="77">
        <v>296697285</v>
      </c>
      <c r="O82" s="47" t="e">
        <f ca="1">[1]!terbilang(N82)</f>
        <v>#NAME?</v>
      </c>
      <c r="P82" s="48"/>
      <c r="Q82" s="213"/>
      <c r="R82" s="48"/>
      <c r="S82" s="48"/>
      <c r="T82" s="214"/>
      <c r="U82" s="48"/>
      <c r="V82" s="215"/>
      <c r="W82" s="48"/>
      <c r="X82" s="48"/>
      <c r="Y82" s="48"/>
      <c r="Z82" s="76"/>
      <c r="AA82" s="215"/>
      <c r="AB82" s="48"/>
      <c r="AC82" s="216"/>
      <c r="AD82" s="43" t="s">
        <v>1035</v>
      </c>
      <c r="AE82" s="46">
        <v>31</v>
      </c>
      <c r="AF82" s="19" t="s">
        <v>75</v>
      </c>
      <c r="AG82" s="44">
        <v>2026</v>
      </c>
      <c r="AH82" s="76"/>
      <c r="AI82" s="76"/>
      <c r="AJ82" s="48"/>
      <c r="AK82" s="235"/>
      <c r="AL82" s="216" t="s">
        <v>1059</v>
      </c>
      <c r="AM82" s="217" t="s">
        <v>1036</v>
      </c>
      <c r="AN82" s="48" t="s">
        <v>71</v>
      </c>
      <c r="AO82" s="218" t="s">
        <v>72</v>
      </c>
      <c r="AP82" s="219" t="s">
        <v>60</v>
      </c>
      <c r="AQ82" s="97" t="s">
        <v>1037</v>
      </c>
      <c r="AR82" s="78"/>
      <c r="AS82" s="78"/>
      <c r="AT82" s="78"/>
      <c r="AW82" s="79"/>
      <c r="BJ82" s="79"/>
      <c r="BK82" s="75"/>
    </row>
    <row r="83" spans="1:67" s="38" customFormat="1" ht="97.5" customHeight="1" x14ac:dyDescent="0.25">
      <c r="A83" s="44"/>
      <c r="B83" s="74" t="s">
        <v>848</v>
      </c>
      <c r="C83" s="47" t="s">
        <v>77</v>
      </c>
      <c r="D83" s="47" t="s">
        <v>61</v>
      </c>
      <c r="E83" s="47"/>
      <c r="F83" s="38" t="s">
        <v>719</v>
      </c>
      <c r="G83" s="38" t="s">
        <v>58</v>
      </c>
      <c r="H83" s="44"/>
      <c r="I83" s="44"/>
      <c r="J83" s="44"/>
      <c r="K83" s="80"/>
      <c r="L83" s="80"/>
      <c r="M83" s="44"/>
      <c r="N83" s="65">
        <v>2092126043</v>
      </c>
      <c r="O83" s="47" t="e">
        <f ca="1">[1]!terbilang(N83)</f>
        <v>#NAME?</v>
      </c>
      <c r="P83" s="44"/>
      <c r="Q83" s="220"/>
      <c r="R83" s="44"/>
      <c r="S83" s="44"/>
      <c r="T83" s="221"/>
      <c r="U83" s="44"/>
      <c r="V83" s="222"/>
      <c r="W83" s="44"/>
      <c r="X83" s="44"/>
      <c r="Y83" s="44"/>
      <c r="Z83" s="80"/>
      <c r="AA83" s="222"/>
      <c r="AB83" s="44"/>
      <c r="AC83" s="66"/>
      <c r="AD83" s="43" t="s">
        <v>1038</v>
      </c>
      <c r="AE83" s="46">
        <v>31</v>
      </c>
      <c r="AF83" s="19" t="s">
        <v>75</v>
      </c>
      <c r="AG83" s="44">
        <v>2026</v>
      </c>
      <c r="AH83" s="80"/>
      <c r="AI83" s="80"/>
      <c r="AJ83" s="44" t="s">
        <v>65</v>
      </c>
      <c r="AK83" s="236"/>
      <c r="AL83" s="66" t="s">
        <v>1039</v>
      </c>
      <c r="AM83" s="223" t="s">
        <v>1040</v>
      </c>
      <c r="AN83" s="44" t="s">
        <v>81</v>
      </c>
      <c r="AO83" s="224" t="s">
        <v>62</v>
      </c>
      <c r="AP83" s="219" t="s">
        <v>63</v>
      </c>
      <c r="AQ83" s="97" t="s">
        <v>1041</v>
      </c>
      <c r="AR83" s="81"/>
      <c r="AS83" s="81"/>
      <c r="AT83" s="81"/>
      <c r="AW83" s="82"/>
      <c r="BJ83" s="82"/>
      <c r="BK83" s="47"/>
    </row>
    <row r="84" spans="1:67" s="38" customFormat="1" ht="97.5" customHeight="1" x14ac:dyDescent="0.25">
      <c r="A84" s="44"/>
      <c r="B84" s="74" t="s">
        <v>848</v>
      </c>
      <c r="C84" s="47" t="s">
        <v>724</v>
      </c>
      <c r="D84" s="47" t="s">
        <v>64</v>
      </c>
      <c r="E84" s="47"/>
      <c r="F84" s="38" t="s">
        <v>723</v>
      </c>
      <c r="G84" s="38" t="s">
        <v>58</v>
      </c>
      <c r="H84" s="44"/>
      <c r="I84" s="44"/>
      <c r="J84" s="44"/>
      <c r="K84" s="80"/>
      <c r="L84" s="80"/>
      <c r="M84" s="44"/>
      <c r="N84" s="65">
        <v>22450524</v>
      </c>
      <c r="O84" s="47" t="e">
        <f ca="1">[1]!terbilang(N84)</f>
        <v>#NAME?</v>
      </c>
      <c r="P84" s="44" t="s">
        <v>65</v>
      </c>
      <c r="Q84" s="220"/>
      <c r="R84" s="44"/>
      <c r="S84" s="44"/>
      <c r="T84" s="221"/>
      <c r="U84" s="44"/>
      <c r="V84" s="222"/>
      <c r="W84" s="44"/>
      <c r="X84" s="44"/>
      <c r="Y84" s="44"/>
      <c r="Z84" s="80"/>
      <c r="AA84" s="222"/>
      <c r="AB84" s="44"/>
      <c r="AC84" s="66"/>
      <c r="AD84" s="43" t="s">
        <v>1042</v>
      </c>
      <c r="AE84" s="46">
        <v>31</v>
      </c>
      <c r="AF84" s="19" t="s">
        <v>75</v>
      </c>
      <c r="AG84" s="44">
        <v>2026</v>
      </c>
      <c r="AH84" s="80"/>
      <c r="AI84" s="80"/>
      <c r="AJ84" s="44"/>
      <c r="AK84" s="236" t="s">
        <v>65</v>
      </c>
      <c r="AL84" s="66" t="s">
        <v>1043</v>
      </c>
      <c r="AM84" s="223" t="s">
        <v>1044</v>
      </c>
      <c r="AN84" s="48" t="s">
        <v>73</v>
      </c>
      <c r="AO84" s="218" t="s">
        <v>74</v>
      </c>
      <c r="AP84" s="219" t="s">
        <v>66</v>
      </c>
      <c r="AQ84" s="97" t="s">
        <v>1045</v>
      </c>
      <c r="AR84" s="81"/>
      <c r="AS84" s="81"/>
      <c r="AT84" s="81"/>
      <c r="AW84" s="82"/>
      <c r="BJ84" s="82"/>
      <c r="BK84" s="47"/>
    </row>
    <row r="85" spans="1:67" s="38" customFormat="1" ht="97.5" customHeight="1" x14ac:dyDescent="0.25">
      <c r="A85" s="44"/>
      <c r="B85" s="74" t="s">
        <v>848</v>
      </c>
      <c r="C85" s="47" t="s">
        <v>722</v>
      </c>
      <c r="D85" s="47" t="s">
        <v>67</v>
      </c>
      <c r="E85" s="47"/>
      <c r="F85" s="38" t="s">
        <v>723</v>
      </c>
      <c r="G85" s="38" t="s">
        <v>58</v>
      </c>
      <c r="H85" s="44"/>
      <c r="I85" s="44"/>
      <c r="J85" s="44"/>
      <c r="K85" s="80"/>
      <c r="L85" s="80"/>
      <c r="M85" s="44"/>
      <c r="N85" s="65">
        <v>269372307</v>
      </c>
      <c r="O85" s="47" t="e">
        <f ca="1">[1]!terbilang(N85)</f>
        <v>#NAME?</v>
      </c>
      <c r="P85" s="44"/>
      <c r="Q85" s="220"/>
      <c r="R85" s="44"/>
      <c r="S85" s="44"/>
      <c r="T85" s="221"/>
      <c r="U85" s="44"/>
      <c r="V85" s="222"/>
      <c r="W85" s="44"/>
      <c r="X85" s="44"/>
      <c r="Y85" s="44"/>
      <c r="Z85" s="80"/>
      <c r="AA85" s="222"/>
      <c r="AB85" s="44"/>
      <c r="AC85" s="66"/>
      <c r="AD85" s="43" t="s">
        <v>1046</v>
      </c>
      <c r="AE85" s="46">
        <v>31</v>
      </c>
      <c r="AF85" s="19" t="s">
        <v>75</v>
      </c>
      <c r="AG85" s="44">
        <v>2026</v>
      </c>
      <c r="AH85" s="80"/>
      <c r="AI85" s="80"/>
      <c r="AJ85" s="44"/>
      <c r="AK85" s="236"/>
      <c r="AL85" s="66" t="s">
        <v>1047</v>
      </c>
      <c r="AM85" s="223" t="s">
        <v>1048</v>
      </c>
      <c r="AN85" s="44" t="s">
        <v>81</v>
      </c>
      <c r="AO85" s="224" t="s">
        <v>62</v>
      </c>
      <c r="AP85" s="219" t="s">
        <v>63</v>
      </c>
      <c r="AQ85" s="97" t="s">
        <v>1049</v>
      </c>
      <c r="AR85" s="81"/>
      <c r="AS85" s="81"/>
      <c r="AT85" s="81"/>
      <c r="AW85" s="82"/>
      <c r="BJ85" s="82"/>
      <c r="BK85" s="47"/>
    </row>
    <row r="86" spans="1:67" s="38" customFormat="1" ht="97.5" customHeight="1" x14ac:dyDescent="0.25">
      <c r="A86" s="44"/>
      <c r="B86" s="74" t="s">
        <v>848</v>
      </c>
      <c r="C86" s="47" t="s">
        <v>720</v>
      </c>
      <c r="D86" s="47" t="s">
        <v>68</v>
      </c>
      <c r="E86" s="47"/>
      <c r="F86" s="38" t="s">
        <v>721</v>
      </c>
      <c r="G86" s="38" t="s">
        <v>58</v>
      </c>
      <c r="H86" s="44"/>
      <c r="I86" s="44"/>
      <c r="J86" s="44"/>
      <c r="K86" s="80"/>
      <c r="L86" s="80"/>
      <c r="M86" s="44"/>
      <c r="N86" s="65">
        <v>4109705709</v>
      </c>
      <c r="O86" s="47" t="e">
        <f ca="1">[1]!terbilang(N86)</f>
        <v>#NAME?</v>
      </c>
      <c r="P86" s="44"/>
      <c r="Q86" s="220"/>
      <c r="R86" s="44"/>
      <c r="S86" s="44"/>
      <c r="T86" s="221"/>
      <c r="U86" s="44"/>
      <c r="V86" s="222"/>
      <c r="W86" s="44"/>
      <c r="X86" s="44"/>
      <c r="Y86" s="44"/>
      <c r="Z86" s="80"/>
      <c r="AA86" s="222"/>
      <c r="AB86" s="44"/>
      <c r="AC86" s="66"/>
      <c r="AD86" s="43" t="s">
        <v>1050</v>
      </c>
      <c r="AE86" s="46">
        <v>31</v>
      </c>
      <c r="AF86" s="19" t="s">
        <v>75</v>
      </c>
      <c r="AG86" s="44">
        <v>2026</v>
      </c>
      <c r="AH86" s="80"/>
      <c r="AI86" s="80"/>
      <c r="AJ86" s="44"/>
      <c r="AK86" s="236"/>
      <c r="AL86" s="66" t="s">
        <v>1051</v>
      </c>
      <c r="AM86" s="223" t="s">
        <v>1052</v>
      </c>
      <c r="AN86" s="48" t="s">
        <v>71</v>
      </c>
      <c r="AO86" s="218" t="s">
        <v>72</v>
      </c>
      <c r="AP86" s="219" t="s">
        <v>60</v>
      </c>
      <c r="AQ86" s="97" t="s">
        <v>1053</v>
      </c>
      <c r="AR86" s="81"/>
      <c r="AS86" s="81"/>
      <c r="AT86" s="81"/>
      <c r="AW86" s="82"/>
      <c r="BJ86" s="82"/>
      <c r="BK86" s="47"/>
    </row>
    <row r="87" spans="1:67" s="73" customFormat="1" ht="97.5" customHeight="1" x14ac:dyDescent="0.25">
      <c r="A87" s="48"/>
      <c r="B87" s="74" t="s">
        <v>1058</v>
      </c>
      <c r="C87" s="75" t="s">
        <v>57</v>
      </c>
      <c r="D87" s="75" t="s">
        <v>59</v>
      </c>
      <c r="E87" s="75"/>
      <c r="F87" s="73" t="s">
        <v>726</v>
      </c>
      <c r="G87" s="73" t="s">
        <v>58</v>
      </c>
      <c r="H87" s="48"/>
      <c r="I87" s="48"/>
      <c r="J87" s="48"/>
      <c r="K87" s="76"/>
      <c r="L87" s="76"/>
      <c r="M87" s="48"/>
      <c r="N87" s="77">
        <v>7084818</v>
      </c>
      <c r="O87" s="47" t="e">
        <f ca="1">[1]!terbilang(N87)</f>
        <v>#NAME?</v>
      </c>
      <c r="P87" s="48"/>
      <c r="Q87" s="213"/>
      <c r="R87" s="48"/>
      <c r="S87" s="48"/>
      <c r="T87" s="214"/>
      <c r="U87" s="48"/>
      <c r="V87" s="215"/>
      <c r="W87" s="48"/>
      <c r="X87" s="48"/>
      <c r="Y87" s="48"/>
      <c r="Z87" s="76"/>
      <c r="AA87" s="215"/>
      <c r="AB87" s="48"/>
      <c r="AC87" s="216"/>
      <c r="AD87" s="66" t="s">
        <v>1062</v>
      </c>
      <c r="AE87" s="46">
        <v>2</v>
      </c>
      <c r="AF87" s="44" t="s">
        <v>1060</v>
      </c>
      <c r="AG87" s="44">
        <v>2026</v>
      </c>
      <c r="AH87" s="76"/>
      <c r="AI87" s="76"/>
      <c r="AJ87" s="48"/>
      <c r="AK87" s="235"/>
      <c r="AL87" s="216" t="s">
        <v>1061</v>
      </c>
      <c r="AM87" s="217" t="s">
        <v>1054</v>
      </c>
      <c r="AN87" s="48" t="s">
        <v>71</v>
      </c>
      <c r="AO87" s="218" t="s">
        <v>72</v>
      </c>
      <c r="AP87" s="219" t="s">
        <v>60</v>
      </c>
      <c r="AQ87" s="225" t="s">
        <v>1067</v>
      </c>
      <c r="AR87" s="78"/>
      <c r="AS87" s="78"/>
      <c r="AT87" s="78"/>
      <c r="AW87" s="79"/>
      <c r="BJ87" s="79"/>
      <c r="BK87" s="75"/>
    </row>
    <row r="88" spans="1:67" s="38" customFormat="1" ht="97.5" customHeight="1" x14ac:dyDescent="0.25">
      <c r="A88" s="44"/>
      <c r="B88" s="74" t="s">
        <v>848</v>
      </c>
      <c r="C88" s="47" t="s">
        <v>77</v>
      </c>
      <c r="D88" s="47" t="s">
        <v>61</v>
      </c>
      <c r="E88" s="47"/>
      <c r="F88" s="73" t="s">
        <v>731</v>
      </c>
      <c r="G88" s="38" t="s">
        <v>58</v>
      </c>
      <c r="H88" s="44"/>
      <c r="I88" s="44"/>
      <c r="J88" s="44"/>
      <c r="K88" s="80"/>
      <c r="L88" s="80"/>
      <c r="M88" s="44"/>
      <c r="N88" s="65">
        <v>830526840</v>
      </c>
      <c r="O88" s="47" t="e">
        <f ca="1">[1]!terbilang(N88)</f>
        <v>#NAME?</v>
      </c>
      <c r="P88" s="44"/>
      <c r="Q88" s="220"/>
      <c r="R88" s="44"/>
      <c r="S88" s="44"/>
      <c r="T88" s="221"/>
      <c r="U88" s="44"/>
      <c r="V88" s="222"/>
      <c r="W88" s="44"/>
      <c r="X88" s="44"/>
      <c r="Y88" s="44"/>
      <c r="Z88" s="80"/>
      <c r="AA88" s="222"/>
      <c r="AB88" s="44"/>
      <c r="AC88" s="66"/>
      <c r="AD88" s="66" t="s">
        <v>1064</v>
      </c>
      <c r="AE88" s="46">
        <v>2</v>
      </c>
      <c r="AF88" s="44" t="s">
        <v>1060</v>
      </c>
      <c r="AG88" s="44">
        <v>2026</v>
      </c>
      <c r="AH88" s="80"/>
      <c r="AI88" s="80"/>
      <c r="AJ88" s="44" t="s">
        <v>65</v>
      </c>
      <c r="AK88" s="236"/>
      <c r="AL88" s="216" t="s">
        <v>1065</v>
      </c>
      <c r="AM88" s="217" t="s">
        <v>1055</v>
      </c>
      <c r="AN88" s="44" t="s">
        <v>81</v>
      </c>
      <c r="AO88" s="224" t="s">
        <v>62</v>
      </c>
      <c r="AP88" s="219" t="s">
        <v>63</v>
      </c>
      <c r="AQ88" s="225" t="s">
        <v>1066</v>
      </c>
      <c r="AR88" s="81"/>
      <c r="AS88" s="81"/>
      <c r="AT88" s="81"/>
      <c r="AW88" s="82"/>
      <c r="BJ88" s="82"/>
      <c r="BK88" s="47"/>
    </row>
    <row r="89" spans="1:67" s="38" customFormat="1" ht="97.5" customHeight="1" x14ac:dyDescent="0.25">
      <c r="A89" s="44"/>
      <c r="B89" s="74" t="s">
        <v>848</v>
      </c>
      <c r="C89" s="47" t="s">
        <v>722</v>
      </c>
      <c r="D89" s="47" t="s">
        <v>67</v>
      </c>
      <c r="E89" s="47"/>
      <c r="F89" s="73" t="s">
        <v>726</v>
      </c>
      <c r="G89" s="38" t="s">
        <v>58</v>
      </c>
      <c r="H89" s="44"/>
      <c r="I89" s="44"/>
      <c r="J89" s="44"/>
      <c r="K89" s="80"/>
      <c r="L89" s="80"/>
      <c r="M89" s="44"/>
      <c r="N89" s="65">
        <v>22450524</v>
      </c>
      <c r="O89" s="47" t="e">
        <f ca="1">[1]!terbilang(N89)</f>
        <v>#NAME?</v>
      </c>
      <c r="P89" s="44"/>
      <c r="Q89" s="220"/>
      <c r="R89" s="44"/>
      <c r="S89" s="44"/>
      <c r="T89" s="221"/>
      <c r="U89" s="44"/>
      <c r="V89" s="222"/>
      <c r="W89" s="44"/>
      <c r="X89" s="44"/>
      <c r="Y89" s="44"/>
      <c r="Z89" s="80"/>
      <c r="AA89" s="222"/>
      <c r="AB89" s="44"/>
      <c r="AC89" s="66"/>
      <c r="AD89" s="66" t="s">
        <v>1068</v>
      </c>
      <c r="AE89" s="46">
        <v>2</v>
      </c>
      <c r="AF89" s="44" t="s">
        <v>1060</v>
      </c>
      <c r="AG89" s="44">
        <v>2026</v>
      </c>
      <c r="AH89" s="80"/>
      <c r="AI89" s="80"/>
      <c r="AJ89" s="44"/>
      <c r="AK89" s="236"/>
      <c r="AL89" s="216" t="s">
        <v>1069</v>
      </c>
      <c r="AM89" s="217" t="s">
        <v>1056</v>
      </c>
      <c r="AN89" s="44" t="s">
        <v>81</v>
      </c>
      <c r="AO89" s="224" t="s">
        <v>62</v>
      </c>
      <c r="AP89" s="219" t="s">
        <v>63</v>
      </c>
      <c r="AQ89" s="225" t="s">
        <v>1063</v>
      </c>
      <c r="AR89" s="81"/>
      <c r="AS89" s="81"/>
      <c r="AT89" s="81"/>
      <c r="AW89" s="82"/>
      <c r="BJ89" s="82"/>
      <c r="BK89" s="47"/>
    </row>
    <row r="90" spans="1:67" s="38" customFormat="1" ht="97.5" customHeight="1" x14ac:dyDescent="0.25">
      <c r="A90" s="44"/>
      <c r="B90" s="74" t="s">
        <v>1058</v>
      </c>
      <c r="C90" s="47" t="s">
        <v>720</v>
      </c>
      <c r="D90" s="47" t="s">
        <v>68</v>
      </c>
      <c r="E90" s="47"/>
      <c r="F90" s="73" t="s">
        <v>726</v>
      </c>
      <c r="G90" s="38" t="s">
        <v>58</v>
      </c>
      <c r="H90" s="44"/>
      <c r="I90" s="44"/>
      <c r="J90" s="44"/>
      <c r="K90" s="80"/>
      <c r="L90" s="80"/>
      <c r="M90" s="44"/>
      <c r="N90" s="65">
        <v>17423663</v>
      </c>
      <c r="O90" s="47" t="e">
        <f ca="1">[1]!terbilang(N90)</f>
        <v>#NAME?</v>
      </c>
      <c r="P90" s="44"/>
      <c r="Q90" s="220"/>
      <c r="R90" s="44"/>
      <c r="S90" s="44"/>
      <c r="T90" s="221"/>
      <c r="U90" s="44"/>
      <c r="V90" s="222"/>
      <c r="W90" s="44"/>
      <c r="X90" s="44"/>
      <c r="Y90" s="44"/>
      <c r="Z90" s="80"/>
      <c r="AA90" s="222"/>
      <c r="AB90" s="44"/>
      <c r="AC90" s="66"/>
      <c r="AD90" s="66" t="s">
        <v>1070</v>
      </c>
      <c r="AE90" s="46">
        <v>2</v>
      </c>
      <c r="AF90" s="44" t="s">
        <v>1060</v>
      </c>
      <c r="AG90" s="44">
        <v>2026</v>
      </c>
      <c r="AH90" s="80"/>
      <c r="AI90" s="80"/>
      <c r="AJ90" s="44"/>
      <c r="AK90" s="236"/>
      <c r="AL90" s="216" t="s">
        <v>1071</v>
      </c>
      <c r="AM90" s="217" t="s">
        <v>1057</v>
      </c>
      <c r="AN90" s="48" t="s">
        <v>71</v>
      </c>
      <c r="AO90" s="218" t="s">
        <v>72</v>
      </c>
      <c r="AP90" s="219" t="s">
        <v>60</v>
      </c>
      <c r="AQ90" s="225" t="s">
        <v>1072</v>
      </c>
      <c r="AR90" s="81"/>
      <c r="AS90" s="81"/>
      <c r="AT90" s="81"/>
      <c r="AW90" s="82"/>
      <c r="BJ90" s="82"/>
      <c r="BK90" s="47"/>
    </row>
    <row r="91" spans="1:67" s="22" customFormat="1" ht="97.5" customHeight="1" x14ac:dyDescent="0.25">
      <c r="B91" s="74" t="s">
        <v>848</v>
      </c>
      <c r="C91" s="26" t="s">
        <v>57</v>
      </c>
      <c r="D91" s="26" t="s">
        <v>59</v>
      </c>
      <c r="E91" s="26"/>
      <c r="G91" s="102" t="s">
        <v>58</v>
      </c>
      <c r="J91" s="24"/>
      <c r="K91" s="24"/>
      <c r="N91" s="103">
        <v>36787</v>
      </c>
      <c r="O91" s="65"/>
      <c r="P91" s="104"/>
      <c r="S91" s="105"/>
      <c r="U91" s="106"/>
      <c r="Y91" s="24"/>
      <c r="Z91" s="106"/>
      <c r="AB91" s="107"/>
      <c r="AD91" s="108" t="s">
        <v>1073</v>
      </c>
      <c r="AE91" s="93">
        <v>6</v>
      </c>
      <c r="AF91" s="43" t="s">
        <v>1060</v>
      </c>
      <c r="AG91" s="19">
        <v>2026</v>
      </c>
      <c r="AH91" s="19"/>
      <c r="AI91" s="24"/>
      <c r="AK91" s="231"/>
      <c r="AL91" s="109" t="s">
        <v>1074</v>
      </c>
      <c r="AM91" s="94" t="s">
        <v>1075</v>
      </c>
      <c r="AN91" s="22" t="s">
        <v>71</v>
      </c>
      <c r="AO91" s="95" t="s">
        <v>72</v>
      </c>
      <c r="AP91" s="96" t="s">
        <v>60</v>
      </c>
      <c r="AQ91" s="225" t="s">
        <v>1143</v>
      </c>
      <c r="AR91" s="103"/>
      <c r="AS91" s="97"/>
      <c r="AT91" s="110"/>
      <c r="AU91" s="110"/>
      <c r="AV91" s="110"/>
      <c r="AY91" s="111"/>
      <c r="BK91" s="112"/>
      <c r="BL91" s="103"/>
      <c r="BM91" s="113"/>
      <c r="BO91" s="110"/>
    </row>
    <row r="92" spans="1:67" s="19" customFormat="1" ht="97.5" customHeight="1" x14ac:dyDescent="0.25">
      <c r="B92" s="74" t="s">
        <v>848</v>
      </c>
      <c r="C92" s="30" t="s">
        <v>57</v>
      </c>
      <c r="D92" s="30" t="s">
        <v>61</v>
      </c>
      <c r="E92" s="30"/>
      <c r="G92" s="114" t="s">
        <v>58</v>
      </c>
      <c r="J92" s="20"/>
      <c r="K92" s="20"/>
      <c r="N92" s="115">
        <v>4312548</v>
      </c>
      <c r="O92" s="43" t="str">
        <f>[2]!terbilang(N92)</f>
        <v>Empat juta tiga ratus dua belas ribu lima ratus empat puluh delapan</v>
      </c>
      <c r="P92" s="116"/>
      <c r="S92" s="117"/>
      <c r="U92" s="118"/>
      <c r="Y92" s="20"/>
      <c r="Z92" s="118"/>
      <c r="AB92" s="43"/>
      <c r="AD92" s="108" t="s">
        <v>1076</v>
      </c>
      <c r="AE92" s="93">
        <v>6</v>
      </c>
      <c r="AF92" s="43" t="s">
        <v>1060</v>
      </c>
      <c r="AG92" s="19">
        <v>2026</v>
      </c>
      <c r="AI92" s="20"/>
      <c r="AK92" s="232"/>
      <c r="AL92" s="107" t="s">
        <v>1077</v>
      </c>
      <c r="AM92" s="94" t="s">
        <v>1078</v>
      </c>
      <c r="AN92" s="19" t="s">
        <v>81</v>
      </c>
      <c r="AO92" s="119" t="s">
        <v>62</v>
      </c>
      <c r="AP92" s="96" t="s">
        <v>63</v>
      </c>
      <c r="AQ92" s="225" t="s">
        <v>1142</v>
      </c>
      <c r="AR92" s="115"/>
      <c r="AS92" s="97"/>
      <c r="AT92" s="120"/>
      <c r="AU92" s="120"/>
      <c r="AV92" s="120"/>
      <c r="AY92" s="121"/>
      <c r="BK92" s="122"/>
      <c r="BL92" s="115"/>
      <c r="BM92" s="123"/>
      <c r="BO92" s="120"/>
    </row>
    <row r="93" spans="1:67" s="19" customFormat="1" ht="97.5" customHeight="1" x14ac:dyDescent="0.25">
      <c r="B93" s="74" t="s">
        <v>848</v>
      </c>
      <c r="C93" s="30" t="s">
        <v>57</v>
      </c>
      <c r="D93" s="30" t="s">
        <v>67</v>
      </c>
      <c r="E93" s="30"/>
      <c r="G93" s="114" t="s">
        <v>58</v>
      </c>
      <c r="J93" s="20"/>
      <c r="K93" s="20"/>
      <c r="N93" s="115">
        <v>116576</v>
      </c>
      <c r="O93" s="43" t="str">
        <f>[2]!terbilang(N93)</f>
        <v>Seratus enam belas ribu lima ratus tujuh puluh enam</v>
      </c>
      <c r="P93" s="116"/>
      <c r="S93" s="117"/>
      <c r="U93" s="118"/>
      <c r="Y93" s="20"/>
      <c r="Z93" s="118"/>
      <c r="AB93" s="43"/>
      <c r="AD93" s="108" t="s">
        <v>1079</v>
      </c>
      <c r="AE93" s="93">
        <v>6</v>
      </c>
      <c r="AF93" s="43" t="s">
        <v>1060</v>
      </c>
      <c r="AG93" s="19">
        <v>2026</v>
      </c>
      <c r="AI93" s="20"/>
      <c r="AK93" s="232"/>
      <c r="AL93" s="43" t="s">
        <v>1080</v>
      </c>
      <c r="AM93" s="94" t="s">
        <v>1081</v>
      </c>
      <c r="AN93" s="19" t="s">
        <v>81</v>
      </c>
      <c r="AO93" s="119" t="s">
        <v>62</v>
      </c>
      <c r="AP93" s="96" t="s">
        <v>63</v>
      </c>
      <c r="AQ93" s="225" t="s">
        <v>1144</v>
      </c>
      <c r="AR93" s="115"/>
      <c r="AS93" s="97"/>
      <c r="AT93" s="120"/>
      <c r="AU93" s="120"/>
      <c r="AV93" s="120"/>
      <c r="AY93" s="121"/>
      <c r="BK93" s="122"/>
      <c r="BL93" s="115"/>
      <c r="BM93" s="123"/>
      <c r="BO93" s="120"/>
    </row>
    <row r="94" spans="1:67" s="84" customFormat="1" ht="97.5" customHeight="1" x14ac:dyDescent="0.25">
      <c r="B94" s="74" t="s">
        <v>848</v>
      </c>
      <c r="C94" s="85" t="s">
        <v>57</v>
      </c>
      <c r="D94" s="85" t="s">
        <v>68</v>
      </c>
      <c r="E94" s="85"/>
      <c r="G94" s="86" t="s">
        <v>58</v>
      </c>
      <c r="J94" s="87"/>
      <c r="K94" s="87"/>
      <c r="N94" s="88">
        <v>90472</v>
      </c>
      <c r="O94" s="89" t="str">
        <f>[2]!terbilang(N94)</f>
        <v>Sembilan puluh ribu empat ratus tujuh puluh dua</v>
      </c>
      <c r="P94" s="90"/>
      <c r="S94" s="91"/>
      <c r="U94" s="92"/>
      <c r="Y94" s="87"/>
      <c r="Z94" s="92"/>
      <c r="AB94" s="89"/>
      <c r="AD94" s="108" t="s">
        <v>1082</v>
      </c>
      <c r="AE94" s="93">
        <v>6</v>
      </c>
      <c r="AF94" s="43" t="s">
        <v>1060</v>
      </c>
      <c r="AG94" s="19">
        <v>2026</v>
      </c>
      <c r="AH94" s="19"/>
      <c r="AI94" s="87"/>
      <c r="AK94" s="237"/>
      <c r="AL94" s="43" t="s">
        <v>1083</v>
      </c>
      <c r="AM94" s="94" t="s">
        <v>1084</v>
      </c>
      <c r="AN94" s="22" t="s">
        <v>71</v>
      </c>
      <c r="AO94" s="95" t="s">
        <v>72</v>
      </c>
      <c r="AP94" s="96" t="s">
        <v>60</v>
      </c>
      <c r="AQ94" s="225" t="s">
        <v>1145</v>
      </c>
      <c r="AR94" s="88"/>
      <c r="AS94" s="97"/>
      <c r="AT94" s="98"/>
      <c r="AU94" s="98"/>
      <c r="AV94" s="98"/>
      <c r="AY94" s="99"/>
      <c r="BK94" s="100"/>
      <c r="BL94" s="88"/>
      <c r="BM94" s="101"/>
      <c r="BO94" s="98"/>
    </row>
    <row r="95" spans="1:67" s="84" customFormat="1" ht="97.5" customHeight="1" x14ac:dyDescent="0.25">
      <c r="B95" s="74" t="s">
        <v>848</v>
      </c>
      <c r="C95" s="85" t="s">
        <v>1085</v>
      </c>
      <c r="D95" s="85" t="s">
        <v>1086</v>
      </c>
      <c r="E95" s="85" t="s">
        <v>1087</v>
      </c>
      <c r="G95" s="86" t="s">
        <v>58</v>
      </c>
      <c r="J95" s="87"/>
      <c r="K95" s="87"/>
      <c r="N95" s="88">
        <v>6561699</v>
      </c>
      <c r="O95" s="89" t="str">
        <f>[2]!terbilang(N95)</f>
        <v>Enam juta lima ratus enam puluh satu ribu enam ratus sembilan puluh sembilan</v>
      </c>
      <c r="P95" s="90"/>
      <c r="S95" s="91"/>
      <c r="U95" s="92"/>
      <c r="Y95" s="87"/>
      <c r="Z95" s="92"/>
      <c r="AB95" s="89"/>
      <c r="AD95" s="108" t="s">
        <v>1088</v>
      </c>
      <c r="AE95" s="93">
        <v>6</v>
      </c>
      <c r="AF95" s="43" t="s">
        <v>1060</v>
      </c>
      <c r="AG95" s="19">
        <v>2026</v>
      </c>
      <c r="AH95" s="19"/>
      <c r="AI95" s="87"/>
      <c r="AK95" s="237"/>
      <c r="AL95" s="43" t="s">
        <v>1089</v>
      </c>
      <c r="AM95" s="94" t="s">
        <v>1090</v>
      </c>
      <c r="AN95" s="22" t="s">
        <v>1091</v>
      </c>
      <c r="AO95" s="95" t="s">
        <v>1092</v>
      </c>
      <c r="AP95" s="96" t="s">
        <v>800</v>
      </c>
      <c r="AR95" s="88"/>
      <c r="AS95" s="97"/>
      <c r="AT95" s="98"/>
      <c r="AU95" s="98"/>
      <c r="AV95" s="98"/>
      <c r="AY95" s="99"/>
      <c r="BK95" s="100"/>
      <c r="BL95" s="88"/>
      <c r="BM95" s="101"/>
      <c r="BO95" s="98"/>
    </row>
    <row r="96" spans="1:67" s="84" customFormat="1" ht="97.5" customHeight="1" x14ac:dyDescent="0.25">
      <c r="B96" s="74" t="s">
        <v>848</v>
      </c>
      <c r="C96" s="85" t="s">
        <v>57</v>
      </c>
      <c r="D96" s="85" t="s">
        <v>68</v>
      </c>
      <c r="E96" s="85" t="s">
        <v>1093</v>
      </c>
      <c r="G96" s="86" t="s">
        <v>58</v>
      </c>
      <c r="J96" s="87"/>
      <c r="K96" s="87"/>
      <c r="N96" s="88">
        <v>6979869</v>
      </c>
      <c r="O96" s="89" t="str">
        <f>[2]!terbilang(N96)</f>
        <v>Enam juta sembilan ratus tujuh puluh sembilan ribu delapan ratus enam puluh sembilan</v>
      </c>
      <c r="P96" s="90"/>
      <c r="S96" s="91"/>
      <c r="U96" s="92"/>
      <c r="Y96" s="87"/>
      <c r="Z96" s="92"/>
      <c r="AB96" s="89"/>
      <c r="AD96" s="108" t="s">
        <v>1094</v>
      </c>
      <c r="AE96" s="93">
        <v>6</v>
      </c>
      <c r="AF96" s="43" t="s">
        <v>1060</v>
      </c>
      <c r="AG96" s="19">
        <v>2026</v>
      </c>
      <c r="AH96" s="19"/>
      <c r="AI96" s="87"/>
      <c r="AK96" s="237"/>
      <c r="AL96" s="43" t="s">
        <v>1095</v>
      </c>
      <c r="AM96" s="94" t="s">
        <v>1096</v>
      </c>
      <c r="AN96" s="22" t="s">
        <v>71</v>
      </c>
      <c r="AO96" s="95" t="s">
        <v>72</v>
      </c>
      <c r="AP96" s="96" t="s">
        <v>60</v>
      </c>
      <c r="AR96" s="88"/>
      <c r="AS96" s="97"/>
      <c r="AT96" s="98"/>
      <c r="AU96" s="98"/>
      <c r="AV96" s="98"/>
      <c r="AY96" s="99"/>
      <c r="BK96" s="100"/>
      <c r="BL96" s="88"/>
      <c r="BM96" s="101"/>
      <c r="BO96" s="98"/>
    </row>
    <row r="97" spans="1:67" s="84" customFormat="1" ht="97.5" customHeight="1" x14ac:dyDescent="0.25">
      <c r="B97" s="74" t="s">
        <v>848</v>
      </c>
      <c r="C97" s="85" t="s">
        <v>57</v>
      </c>
      <c r="D97" s="85" t="s">
        <v>68</v>
      </c>
      <c r="E97" s="85" t="s">
        <v>1093</v>
      </c>
      <c r="G97" s="86" t="s">
        <v>58</v>
      </c>
      <c r="J97" s="87"/>
      <c r="K97" s="87"/>
      <c r="N97" s="88">
        <v>6999085</v>
      </c>
      <c r="O97" s="89" t="str">
        <f>[2]!terbilang(N97)</f>
        <v>Enam juta sembilan ratus sembilan puluh sembilan ribu delapan puluh lima</v>
      </c>
      <c r="P97" s="90"/>
      <c r="S97" s="91"/>
      <c r="U97" s="92"/>
      <c r="Y97" s="87"/>
      <c r="Z97" s="92"/>
      <c r="AB97" s="89"/>
      <c r="AD97" s="108" t="s">
        <v>1097</v>
      </c>
      <c r="AE97" s="93">
        <v>6</v>
      </c>
      <c r="AF97" s="43" t="s">
        <v>1060</v>
      </c>
      <c r="AG97" s="19">
        <v>2026</v>
      </c>
      <c r="AH97" s="19"/>
      <c r="AI97" s="87"/>
      <c r="AK97" s="237"/>
      <c r="AL97" s="43" t="s">
        <v>1098</v>
      </c>
      <c r="AM97" s="94" t="s">
        <v>1099</v>
      </c>
      <c r="AN97" s="22" t="s">
        <v>71</v>
      </c>
      <c r="AO97" s="95" t="s">
        <v>72</v>
      </c>
      <c r="AP97" s="96" t="s">
        <v>60</v>
      </c>
      <c r="AR97" s="88"/>
      <c r="AS97" s="97"/>
      <c r="AT97" s="98"/>
      <c r="AU97" s="98"/>
      <c r="AV97" s="98"/>
      <c r="AY97" s="99"/>
      <c r="BK97" s="100"/>
      <c r="BL97" s="88"/>
      <c r="BM97" s="101"/>
      <c r="BO97" s="98"/>
    </row>
    <row r="98" spans="1:67" s="84" customFormat="1" ht="97.5" customHeight="1" x14ac:dyDescent="0.25">
      <c r="B98" s="74" t="s">
        <v>848</v>
      </c>
      <c r="C98" s="85" t="s">
        <v>57</v>
      </c>
      <c r="D98" s="85" t="s">
        <v>68</v>
      </c>
      <c r="E98" s="85" t="s">
        <v>1093</v>
      </c>
      <c r="G98" s="86" t="s">
        <v>58</v>
      </c>
      <c r="J98" s="87"/>
      <c r="K98" s="87"/>
      <c r="N98" s="88">
        <v>7000000</v>
      </c>
      <c r="O98" s="89" t="str">
        <f>[2]!terbilang(N98)</f>
        <v>Tujuh juta</v>
      </c>
      <c r="P98" s="90"/>
      <c r="S98" s="91"/>
      <c r="U98" s="92"/>
      <c r="Y98" s="87"/>
      <c r="Z98" s="92"/>
      <c r="AB98" s="89"/>
      <c r="AD98" s="108" t="s">
        <v>1100</v>
      </c>
      <c r="AE98" s="93">
        <v>6</v>
      </c>
      <c r="AF98" s="43" t="s">
        <v>1060</v>
      </c>
      <c r="AG98" s="19">
        <v>2026</v>
      </c>
      <c r="AH98" s="19"/>
      <c r="AI98" s="87"/>
      <c r="AK98" s="237"/>
      <c r="AL98" s="43" t="s">
        <v>1101</v>
      </c>
      <c r="AM98" s="94" t="s">
        <v>1102</v>
      </c>
      <c r="AN98" s="22" t="s">
        <v>71</v>
      </c>
      <c r="AO98" s="95" t="s">
        <v>72</v>
      </c>
      <c r="AP98" s="96" t="s">
        <v>60</v>
      </c>
      <c r="AR98" s="88"/>
      <c r="AS98" s="97"/>
      <c r="AT98" s="98"/>
      <c r="AU98" s="98"/>
      <c r="AV98" s="98"/>
      <c r="AY98" s="99"/>
      <c r="BK98" s="100"/>
      <c r="BL98" s="88"/>
      <c r="BM98" s="101"/>
      <c r="BO98" s="98"/>
    </row>
    <row r="99" spans="1:67" s="84" customFormat="1" ht="97.5" customHeight="1" x14ac:dyDescent="0.25">
      <c r="B99" s="74" t="s">
        <v>848</v>
      </c>
      <c r="C99" s="85" t="s">
        <v>57</v>
      </c>
      <c r="D99" s="85" t="s">
        <v>68</v>
      </c>
      <c r="E99" s="85" t="s">
        <v>1093</v>
      </c>
      <c r="G99" s="86" t="s">
        <v>58</v>
      </c>
      <c r="J99" s="87"/>
      <c r="K99" s="87"/>
      <c r="N99" s="88">
        <v>6924967</v>
      </c>
      <c r="O99" s="89" t="str">
        <f>[2]!terbilang(N99)</f>
        <v>Enam juta sembilan ratus dua puluh empat ribu sembilan ratus enam puluh tujuh</v>
      </c>
      <c r="P99" s="90"/>
      <c r="S99" s="91"/>
      <c r="U99" s="92"/>
      <c r="Y99" s="87"/>
      <c r="Z99" s="92"/>
      <c r="AB99" s="89"/>
      <c r="AD99" s="108" t="s">
        <v>1103</v>
      </c>
      <c r="AE99" s="93">
        <v>6</v>
      </c>
      <c r="AF99" s="43" t="s">
        <v>1060</v>
      </c>
      <c r="AG99" s="19">
        <v>2026</v>
      </c>
      <c r="AH99" s="19"/>
      <c r="AI99" s="87"/>
      <c r="AK99" s="237"/>
      <c r="AL99" s="43" t="s">
        <v>1104</v>
      </c>
      <c r="AM99" s="94" t="s">
        <v>1105</v>
      </c>
      <c r="AN99" s="22" t="s">
        <v>71</v>
      </c>
      <c r="AO99" s="95" t="s">
        <v>72</v>
      </c>
      <c r="AP99" s="96" t="s">
        <v>60</v>
      </c>
      <c r="AR99" s="88"/>
      <c r="AS99" s="97"/>
      <c r="AT99" s="98"/>
      <c r="AU99" s="98"/>
      <c r="AV99" s="98"/>
      <c r="AY99" s="99"/>
      <c r="BK99" s="100"/>
      <c r="BL99" s="88"/>
      <c r="BM99" s="101"/>
      <c r="BO99" s="98"/>
    </row>
    <row r="100" spans="1:67" s="84" customFormat="1" ht="97.5" customHeight="1" x14ac:dyDescent="0.25">
      <c r="B100" s="74" t="s">
        <v>848</v>
      </c>
      <c r="C100" s="85" t="s">
        <v>57</v>
      </c>
      <c r="D100" s="85" t="s">
        <v>68</v>
      </c>
      <c r="E100" s="85" t="s">
        <v>1093</v>
      </c>
      <c r="G100" s="86" t="s">
        <v>58</v>
      </c>
      <c r="J100" s="87"/>
      <c r="K100" s="87"/>
      <c r="N100" s="88">
        <v>6978954</v>
      </c>
      <c r="O100" s="89" t="str">
        <f>[2]!terbilang(N100)</f>
        <v>Enam juta sembilan ratus tujuh puluh delapan ribu sembilan ratus lima puluh empat</v>
      </c>
      <c r="P100" s="90"/>
      <c r="S100" s="91"/>
      <c r="U100" s="92"/>
      <c r="Y100" s="87"/>
      <c r="Z100" s="92"/>
      <c r="AB100" s="89"/>
      <c r="AD100" s="108" t="s">
        <v>1106</v>
      </c>
      <c r="AE100" s="93">
        <v>6</v>
      </c>
      <c r="AF100" s="43" t="s">
        <v>1060</v>
      </c>
      <c r="AG100" s="19">
        <v>2026</v>
      </c>
      <c r="AH100" s="19"/>
      <c r="AI100" s="87"/>
      <c r="AK100" s="237"/>
      <c r="AL100" s="43" t="s">
        <v>1107</v>
      </c>
      <c r="AM100" s="94" t="s">
        <v>1108</v>
      </c>
      <c r="AN100" s="22" t="s">
        <v>71</v>
      </c>
      <c r="AO100" s="95" t="s">
        <v>72</v>
      </c>
      <c r="AP100" s="96" t="s">
        <v>60</v>
      </c>
      <c r="AR100" s="88"/>
      <c r="AS100" s="97"/>
      <c r="AT100" s="98"/>
      <c r="AU100" s="98"/>
      <c r="AV100" s="98"/>
      <c r="AY100" s="99"/>
      <c r="BK100" s="100"/>
      <c r="BL100" s="88"/>
      <c r="BM100" s="101"/>
      <c r="BO100" s="98"/>
    </row>
    <row r="101" spans="1:67" s="84" customFormat="1" ht="97.5" customHeight="1" x14ac:dyDescent="0.25">
      <c r="B101" s="74" t="s">
        <v>848</v>
      </c>
      <c r="C101" s="85" t="s">
        <v>57</v>
      </c>
      <c r="D101" s="85" t="s">
        <v>68</v>
      </c>
      <c r="E101" s="85" t="s">
        <v>1093</v>
      </c>
      <c r="G101" s="86" t="s">
        <v>58</v>
      </c>
      <c r="J101" s="87"/>
      <c r="K101" s="87"/>
      <c r="N101" s="88">
        <v>7000000</v>
      </c>
      <c r="O101" s="89" t="str">
        <f>[2]!terbilang(N101)</f>
        <v>Tujuh juta</v>
      </c>
      <c r="P101" s="90"/>
      <c r="S101" s="91"/>
      <c r="U101" s="92"/>
      <c r="Y101" s="87"/>
      <c r="Z101" s="92"/>
      <c r="AB101" s="89"/>
      <c r="AD101" s="108" t="s">
        <v>1109</v>
      </c>
      <c r="AE101" s="93">
        <v>6</v>
      </c>
      <c r="AF101" s="43" t="s">
        <v>1060</v>
      </c>
      <c r="AG101" s="19">
        <v>2026</v>
      </c>
      <c r="AH101" s="19"/>
      <c r="AI101" s="87"/>
      <c r="AK101" s="237"/>
      <c r="AL101" s="43" t="s">
        <v>1110</v>
      </c>
      <c r="AM101" s="94" t="s">
        <v>1111</v>
      </c>
      <c r="AN101" s="22" t="s">
        <v>71</v>
      </c>
      <c r="AO101" s="95" t="s">
        <v>72</v>
      </c>
      <c r="AP101" s="96" t="s">
        <v>60</v>
      </c>
      <c r="AR101" s="88"/>
      <c r="AS101" s="97"/>
      <c r="AT101" s="98"/>
      <c r="AU101" s="98"/>
      <c r="AV101" s="98"/>
      <c r="AY101" s="99"/>
      <c r="BK101" s="100"/>
      <c r="BL101" s="88"/>
      <c r="BM101" s="101"/>
      <c r="BO101" s="98"/>
    </row>
    <row r="102" spans="1:67" s="84" customFormat="1" ht="97.5" customHeight="1" x14ac:dyDescent="0.25">
      <c r="B102" s="74" t="s">
        <v>848</v>
      </c>
      <c r="C102" s="85" t="s">
        <v>57</v>
      </c>
      <c r="D102" s="85" t="s">
        <v>68</v>
      </c>
      <c r="E102" s="85" t="s">
        <v>1093</v>
      </c>
      <c r="G102" s="86" t="s">
        <v>58</v>
      </c>
      <c r="J102" s="87"/>
      <c r="K102" s="87"/>
      <c r="N102" s="88">
        <v>7000000</v>
      </c>
      <c r="O102" s="89" t="str">
        <f>[2]!terbilang(N102)</f>
        <v>Tujuh juta</v>
      </c>
      <c r="P102" s="90"/>
      <c r="S102" s="91"/>
      <c r="U102" s="92"/>
      <c r="Y102" s="87"/>
      <c r="Z102" s="92"/>
      <c r="AB102" s="89"/>
      <c r="AD102" s="108" t="s">
        <v>1112</v>
      </c>
      <c r="AE102" s="93">
        <v>6</v>
      </c>
      <c r="AF102" s="43" t="s">
        <v>1060</v>
      </c>
      <c r="AG102" s="19">
        <v>2026</v>
      </c>
      <c r="AH102" s="19"/>
      <c r="AI102" s="87"/>
      <c r="AK102" s="237"/>
      <c r="AL102" s="43" t="s">
        <v>1113</v>
      </c>
      <c r="AM102" s="94" t="s">
        <v>1114</v>
      </c>
      <c r="AN102" s="22" t="s">
        <v>71</v>
      </c>
      <c r="AO102" s="95" t="s">
        <v>72</v>
      </c>
      <c r="AP102" s="96" t="s">
        <v>60</v>
      </c>
      <c r="AR102" s="88"/>
      <c r="AS102" s="97"/>
      <c r="AT102" s="98"/>
      <c r="AU102" s="98"/>
      <c r="AV102" s="98"/>
      <c r="AY102" s="99"/>
      <c r="BK102" s="100"/>
      <c r="BL102" s="88"/>
      <c r="BM102" s="101"/>
      <c r="BO102" s="98"/>
    </row>
    <row r="103" spans="1:67" s="84" customFormat="1" ht="97.5" customHeight="1" x14ac:dyDescent="0.25">
      <c r="B103" s="74" t="s">
        <v>848</v>
      </c>
      <c r="C103" s="85" t="s">
        <v>57</v>
      </c>
      <c r="D103" s="85" t="s">
        <v>68</v>
      </c>
      <c r="E103" s="85" t="s">
        <v>1093</v>
      </c>
      <c r="G103" s="86" t="s">
        <v>58</v>
      </c>
      <c r="J103" s="87"/>
      <c r="K103" s="87"/>
      <c r="N103" s="88">
        <v>7000000</v>
      </c>
      <c r="O103" s="89" t="str">
        <f>[2]!terbilang(N103)</f>
        <v>Tujuh juta</v>
      </c>
      <c r="P103" s="90"/>
      <c r="S103" s="91"/>
      <c r="U103" s="92"/>
      <c r="Y103" s="87"/>
      <c r="Z103" s="92"/>
      <c r="AB103" s="89"/>
      <c r="AD103" s="108" t="s">
        <v>1115</v>
      </c>
      <c r="AE103" s="93">
        <v>6</v>
      </c>
      <c r="AF103" s="43" t="s">
        <v>1060</v>
      </c>
      <c r="AG103" s="19">
        <v>2026</v>
      </c>
      <c r="AH103" s="19"/>
      <c r="AI103" s="87"/>
      <c r="AK103" s="237"/>
      <c r="AL103" s="43" t="s">
        <v>1116</v>
      </c>
      <c r="AM103" s="94" t="s">
        <v>1117</v>
      </c>
      <c r="AN103" s="22" t="s">
        <v>71</v>
      </c>
      <c r="AO103" s="95" t="s">
        <v>72</v>
      </c>
      <c r="AP103" s="96" t="s">
        <v>60</v>
      </c>
      <c r="AR103" s="88"/>
      <c r="AS103" s="97"/>
      <c r="AT103" s="98"/>
      <c r="AU103" s="98"/>
      <c r="AV103" s="98"/>
      <c r="AY103" s="99"/>
      <c r="BK103" s="100"/>
      <c r="BL103" s="88"/>
      <c r="BM103" s="101"/>
      <c r="BO103" s="98"/>
    </row>
    <row r="104" spans="1:67" s="84" customFormat="1" ht="97.5" customHeight="1" x14ac:dyDescent="0.25">
      <c r="B104" s="74" t="s">
        <v>848</v>
      </c>
      <c r="C104" s="47" t="s">
        <v>77</v>
      </c>
      <c r="D104" s="47" t="s">
        <v>61</v>
      </c>
      <c r="E104" s="85" t="s">
        <v>1087</v>
      </c>
      <c r="G104" s="86" t="s">
        <v>58</v>
      </c>
      <c r="J104" s="87"/>
      <c r="K104" s="87"/>
      <c r="N104" s="88">
        <v>5230000</v>
      </c>
      <c r="O104" s="89" t="str">
        <f>[2]!terbilang(N104)</f>
        <v>Lima juta dua ratus tiga puluh ribu</v>
      </c>
      <c r="P104" s="90"/>
      <c r="S104" s="91"/>
      <c r="U104" s="92"/>
      <c r="Y104" s="87"/>
      <c r="Z104" s="92"/>
      <c r="AB104" s="89"/>
      <c r="AD104" s="108" t="s">
        <v>1118</v>
      </c>
      <c r="AE104" s="93">
        <v>6</v>
      </c>
      <c r="AF104" s="43" t="s">
        <v>1060</v>
      </c>
      <c r="AG104" s="19">
        <v>2026</v>
      </c>
      <c r="AH104" s="19"/>
      <c r="AI104" s="87"/>
      <c r="AK104" s="237"/>
      <c r="AL104" s="43" t="s">
        <v>1119</v>
      </c>
      <c r="AM104" s="94" t="s">
        <v>1120</v>
      </c>
      <c r="AN104" s="22" t="s">
        <v>73</v>
      </c>
      <c r="AO104" s="22"/>
      <c r="AP104" s="22"/>
      <c r="AR104" s="88"/>
      <c r="AS104" s="97"/>
      <c r="AT104" s="98"/>
      <c r="AU104" s="98"/>
      <c r="AV104" s="98"/>
      <c r="AY104" s="99"/>
      <c r="BK104" s="100"/>
      <c r="BL104" s="88"/>
      <c r="BM104" s="101"/>
      <c r="BO104" s="98"/>
    </row>
    <row r="105" spans="1:67" s="84" customFormat="1" ht="97.5" customHeight="1" x14ac:dyDescent="0.25">
      <c r="B105" s="74" t="s">
        <v>848</v>
      </c>
      <c r="C105" s="47" t="s">
        <v>77</v>
      </c>
      <c r="D105" s="47" t="s">
        <v>61</v>
      </c>
      <c r="E105" s="85" t="s">
        <v>1121</v>
      </c>
      <c r="G105" s="86" t="s">
        <v>58</v>
      </c>
      <c r="J105" s="87"/>
      <c r="K105" s="87"/>
      <c r="N105" s="88">
        <v>7000000</v>
      </c>
      <c r="O105" s="89" t="str">
        <f>[2]!terbilang(N105)</f>
        <v>Tujuh juta</v>
      </c>
      <c r="P105" s="90"/>
      <c r="S105" s="91"/>
      <c r="U105" s="92"/>
      <c r="Y105" s="87"/>
      <c r="Z105" s="92"/>
      <c r="AB105" s="89"/>
      <c r="AD105" s="108" t="s">
        <v>1122</v>
      </c>
      <c r="AE105" s="93">
        <v>6</v>
      </c>
      <c r="AF105" s="43" t="s">
        <v>1060</v>
      </c>
      <c r="AG105" s="19">
        <v>2026</v>
      </c>
      <c r="AH105" s="19"/>
      <c r="AI105" s="87"/>
      <c r="AK105" s="237"/>
      <c r="AL105" s="43" t="s">
        <v>1123</v>
      </c>
      <c r="AM105" s="94" t="s">
        <v>1124</v>
      </c>
      <c r="AN105" s="22" t="s">
        <v>81</v>
      </c>
      <c r="AO105" s="95" t="s">
        <v>62</v>
      </c>
      <c r="AP105" s="96" t="s">
        <v>63</v>
      </c>
      <c r="AR105" s="88"/>
      <c r="AS105" s="97"/>
      <c r="AT105" s="98"/>
      <c r="AU105" s="98"/>
      <c r="AV105" s="98"/>
      <c r="AY105" s="99"/>
      <c r="BK105" s="100"/>
      <c r="BL105" s="88"/>
      <c r="BM105" s="101"/>
      <c r="BO105" s="98"/>
    </row>
    <row r="106" spans="1:67" s="84" customFormat="1" ht="97.5" customHeight="1" x14ac:dyDescent="0.25">
      <c r="B106" s="74" t="s">
        <v>848</v>
      </c>
      <c r="C106" s="47" t="s">
        <v>77</v>
      </c>
      <c r="D106" s="47" t="s">
        <v>61</v>
      </c>
      <c r="E106" s="85" t="s">
        <v>1121</v>
      </c>
      <c r="G106" s="86" t="s">
        <v>58</v>
      </c>
      <c r="J106" s="87"/>
      <c r="K106" s="87"/>
      <c r="N106" s="88">
        <v>7000000</v>
      </c>
      <c r="O106" s="89" t="str">
        <f>[2]!terbilang(N106)</f>
        <v>Tujuh juta</v>
      </c>
      <c r="P106" s="90"/>
      <c r="S106" s="91"/>
      <c r="U106" s="92"/>
      <c r="Y106" s="87"/>
      <c r="Z106" s="92"/>
      <c r="AB106" s="89"/>
      <c r="AD106" s="108" t="s">
        <v>1125</v>
      </c>
      <c r="AE106" s="93">
        <v>6</v>
      </c>
      <c r="AF106" s="43" t="s">
        <v>1060</v>
      </c>
      <c r="AG106" s="19">
        <v>2026</v>
      </c>
      <c r="AH106" s="19"/>
      <c r="AI106" s="87"/>
      <c r="AK106" s="237"/>
      <c r="AL106" s="43" t="s">
        <v>1126</v>
      </c>
      <c r="AM106" s="94" t="s">
        <v>1127</v>
      </c>
      <c r="AN106" s="22" t="s">
        <v>81</v>
      </c>
      <c r="AO106" s="95" t="s">
        <v>62</v>
      </c>
      <c r="AP106" s="96" t="s">
        <v>63</v>
      </c>
      <c r="AR106" s="88"/>
      <c r="AS106" s="97"/>
      <c r="AT106" s="98"/>
      <c r="AU106" s="98"/>
      <c r="AV106" s="98"/>
      <c r="AY106" s="99"/>
      <c r="BK106" s="100"/>
      <c r="BL106" s="88"/>
      <c r="BM106" s="101"/>
      <c r="BO106" s="98"/>
    </row>
    <row r="107" spans="1:67" s="84" customFormat="1" ht="97.5" customHeight="1" x14ac:dyDescent="0.25">
      <c r="B107" s="74" t="s">
        <v>848</v>
      </c>
      <c r="C107" s="85" t="s">
        <v>57</v>
      </c>
      <c r="D107" s="85" t="s">
        <v>68</v>
      </c>
      <c r="E107" s="85" t="s">
        <v>1128</v>
      </c>
      <c r="G107" s="86" t="s">
        <v>58</v>
      </c>
      <c r="J107" s="87"/>
      <c r="K107" s="87"/>
      <c r="N107" s="88">
        <v>6994510</v>
      </c>
      <c r="O107" s="89" t="str">
        <f>[2]!terbilang(N107)</f>
        <v>Enam juta sembilan ratus sembilan puluh empat ribu lima ratus sepuluh</v>
      </c>
      <c r="P107" s="90"/>
      <c r="S107" s="91"/>
      <c r="U107" s="92"/>
      <c r="Y107" s="87"/>
      <c r="Z107" s="92"/>
      <c r="AB107" s="89"/>
      <c r="AD107" s="108" t="s">
        <v>1129</v>
      </c>
      <c r="AE107" s="93">
        <v>6</v>
      </c>
      <c r="AF107" s="43" t="s">
        <v>1060</v>
      </c>
      <c r="AG107" s="19">
        <v>2026</v>
      </c>
      <c r="AH107" s="19"/>
      <c r="AI107" s="87"/>
      <c r="AK107" s="237"/>
      <c r="AL107" s="43" t="s">
        <v>1130</v>
      </c>
      <c r="AM107" s="94" t="s">
        <v>1131</v>
      </c>
      <c r="AN107" s="22" t="s">
        <v>73</v>
      </c>
      <c r="AO107" s="95" t="s">
        <v>74</v>
      </c>
      <c r="AP107" s="96" t="s">
        <v>66</v>
      </c>
      <c r="AR107" s="88"/>
      <c r="AS107" s="97"/>
      <c r="AT107" s="98"/>
      <c r="AU107" s="98"/>
      <c r="AV107" s="98"/>
      <c r="AY107" s="99"/>
      <c r="BK107" s="100"/>
      <c r="BL107" s="88"/>
      <c r="BM107" s="101"/>
      <c r="BO107" s="98"/>
    </row>
    <row r="108" spans="1:67" s="84" customFormat="1" ht="97.5" customHeight="1" x14ac:dyDescent="0.25">
      <c r="B108" s="74" t="s">
        <v>848</v>
      </c>
      <c r="C108" s="85" t="s">
        <v>57</v>
      </c>
      <c r="D108" s="85" t="s">
        <v>68</v>
      </c>
      <c r="E108" s="85" t="s">
        <v>1128</v>
      </c>
      <c r="G108" s="86" t="s">
        <v>58</v>
      </c>
      <c r="J108" s="87"/>
      <c r="K108" s="87"/>
      <c r="N108" s="88">
        <v>6975294</v>
      </c>
      <c r="O108" s="89" t="str">
        <f>[2]!terbilang(N108)</f>
        <v>Enam juta sembilan ratus tujuh puluh lima ribu dua ratus sembilan puluh empat</v>
      </c>
      <c r="P108" s="90"/>
      <c r="S108" s="91"/>
      <c r="U108" s="92"/>
      <c r="Y108" s="87"/>
      <c r="Z108" s="92"/>
      <c r="AB108" s="89"/>
      <c r="AD108" s="108" t="s">
        <v>1132</v>
      </c>
      <c r="AE108" s="93">
        <v>6</v>
      </c>
      <c r="AF108" s="43" t="s">
        <v>1060</v>
      </c>
      <c r="AG108" s="19">
        <v>2026</v>
      </c>
      <c r="AH108" s="19"/>
      <c r="AI108" s="87"/>
      <c r="AK108" s="237"/>
      <c r="AL108" s="43" t="s">
        <v>1133</v>
      </c>
      <c r="AM108" s="94" t="s">
        <v>1134</v>
      </c>
      <c r="AN108" s="22" t="s">
        <v>73</v>
      </c>
      <c r="AO108" s="95" t="s">
        <v>74</v>
      </c>
      <c r="AP108" s="96" t="s">
        <v>66</v>
      </c>
      <c r="AR108" s="88"/>
      <c r="AS108" s="97"/>
      <c r="AT108" s="98"/>
      <c r="AU108" s="98"/>
      <c r="AV108" s="98"/>
      <c r="AY108" s="99"/>
      <c r="BK108" s="100"/>
      <c r="BL108" s="88"/>
      <c r="BM108" s="101"/>
      <c r="BO108" s="98"/>
    </row>
    <row r="109" spans="1:67" s="84" customFormat="1" ht="97.5" customHeight="1" x14ac:dyDescent="0.25">
      <c r="B109" s="74" t="s">
        <v>848</v>
      </c>
      <c r="C109" s="47" t="s">
        <v>77</v>
      </c>
      <c r="D109" s="47" t="s">
        <v>61</v>
      </c>
      <c r="E109" s="85" t="s">
        <v>1087</v>
      </c>
      <c r="G109" s="86" t="s">
        <v>58</v>
      </c>
      <c r="J109" s="87"/>
      <c r="K109" s="87"/>
      <c r="N109" s="88">
        <v>5230000</v>
      </c>
      <c r="O109" s="89" t="str">
        <f>[2]!terbilang(N109)</f>
        <v>Lima juta dua ratus tiga puluh ribu</v>
      </c>
      <c r="P109" s="90"/>
      <c r="S109" s="91"/>
      <c r="U109" s="92"/>
      <c r="Y109" s="87"/>
      <c r="Z109" s="92"/>
      <c r="AB109" s="89"/>
      <c r="AD109" s="108" t="s">
        <v>1139</v>
      </c>
      <c r="AE109" s="93">
        <v>6</v>
      </c>
      <c r="AF109" s="43" t="s">
        <v>1060</v>
      </c>
      <c r="AG109" s="19">
        <v>2026</v>
      </c>
      <c r="AH109" s="19"/>
      <c r="AI109" s="87"/>
      <c r="AK109" s="237"/>
      <c r="AL109" s="43" t="s">
        <v>1135</v>
      </c>
      <c r="AM109" s="94" t="s">
        <v>1136</v>
      </c>
      <c r="AN109" s="22" t="s">
        <v>71</v>
      </c>
      <c r="AO109" s="95" t="s">
        <v>72</v>
      </c>
      <c r="AP109" s="96" t="s">
        <v>60</v>
      </c>
      <c r="AR109" s="88"/>
      <c r="AS109" s="97"/>
      <c r="AT109" s="98"/>
      <c r="AU109" s="98"/>
      <c r="AV109" s="98"/>
      <c r="AY109" s="99"/>
      <c r="BK109" s="100"/>
      <c r="BL109" s="88"/>
      <c r="BM109" s="101"/>
      <c r="BO109" s="98"/>
    </row>
    <row r="110" spans="1:67" s="84" customFormat="1" ht="97.5" customHeight="1" x14ac:dyDescent="0.25">
      <c r="B110" s="74" t="s">
        <v>848</v>
      </c>
      <c r="C110" s="47" t="s">
        <v>77</v>
      </c>
      <c r="D110" s="47" t="s">
        <v>61</v>
      </c>
      <c r="E110" s="85" t="s">
        <v>1087</v>
      </c>
      <c r="G110" s="86" t="s">
        <v>58</v>
      </c>
      <c r="J110" s="87"/>
      <c r="K110" s="87"/>
      <c r="N110" s="88">
        <v>7000000</v>
      </c>
      <c r="O110" s="89" t="str">
        <f>[2]!terbilang(N110)</f>
        <v>Tujuh juta</v>
      </c>
      <c r="P110" s="90"/>
      <c r="S110" s="91"/>
      <c r="U110" s="92"/>
      <c r="Y110" s="87"/>
      <c r="Z110" s="92"/>
      <c r="AB110" s="89"/>
      <c r="AD110" s="108" t="s">
        <v>1140</v>
      </c>
      <c r="AE110" s="19">
        <v>7</v>
      </c>
      <c r="AF110" s="43" t="s">
        <v>1060</v>
      </c>
      <c r="AG110" s="19">
        <v>2026</v>
      </c>
      <c r="AH110" s="19"/>
      <c r="AI110" s="87"/>
      <c r="AK110" s="237"/>
      <c r="AL110" s="43" t="s">
        <v>1137</v>
      </c>
      <c r="AM110" s="94" t="s">
        <v>1138</v>
      </c>
      <c r="AN110" s="22" t="s">
        <v>1091</v>
      </c>
      <c r="AO110" s="95" t="s">
        <v>1092</v>
      </c>
      <c r="AP110" s="96" t="s">
        <v>800</v>
      </c>
      <c r="AQ110" s="124" t="s">
        <v>1141</v>
      </c>
      <c r="AR110" s="88"/>
      <c r="AS110" s="97"/>
      <c r="AT110" s="98"/>
      <c r="AU110" s="98"/>
      <c r="AV110" s="98"/>
      <c r="AY110" s="99"/>
      <c r="BK110" s="100"/>
      <c r="BL110" s="88"/>
      <c r="BM110" s="101"/>
      <c r="BO110" s="98"/>
    </row>
    <row r="111" spans="1:67" s="184" customFormat="1" ht="97.5" customHeight="1" x14ac:dyDescent="0.25">
      <c r="A111" s="178"/>
      <c r="B111" s="182" t="s">
        <v>694</v>
      </c>
      <c r="C111" s="183" t="s">
        <v>57</v>
      </c>
      <c r="D111" s="183" t="s">
        <v>59</v>
      </c>
      <c r="E111" s="183"/>
      <c r="F111" s="184" t="s">
        <v>811</v>
      </c>
      <c r="G111" s="184" t="s">
        <v>58</v>
      </c>
      <c r="H111" s="178"/>
      <c r="I111" s="178"/>
      <c r="J111" s="178"/>
      <c r="K111" s="185"/>
      <c r="L111" s="185"/>
      <c r="M111" s="178"/>
      <c r="N111" s="186">
        <v>1551230</v>
      </c>
      <c r="O111" s="174" t="str">
        <f>[2]!terbilang(N111)</f>
        <v>Satu juta lima ratus lima puluh satu ribu dua ratus tiga puluh</v>
      </c>
      <c r="P111" s="178"/>
      <c r="Q111" s="226"/>
      <c r="R111" s="178"/>
      <c r="S111" s="178"/>
      <c r="T111" s="227"/>
      <c r="U111" s="178"/>
      <c r="V111" s="228"/>
      <c r="W111" s="178"/>
      <c r="X111" s="178"/>
      <c r="Y111" s="178"/>
      <c r="Z111" s="185"/>
      <c r="AA111" s="228"/>
      <c r="AB111" s="178"/>
      <c r="AC111" s="2"/>
      <c r="AD111" s="108" t="s">
        <v>1238</v>
      </c>
      <c r="AE111" s="12">
        <v>9</v>
      </c>
      <c r="AF111" s="43" t="s">
        <v>1060</v>
      </c>
      <c r="AG111" s="19">
        <v>2026</v>
      </c>
      <c r="AH111" s="24"/>
      <c r="AI111" s="24"/>
      <c r="AJ111" s="22"/>
      <c r="AK111" s="231"/>
      <c r="AL111" s="107" t="s">
        <v>1228</v>
      </c>
      <c r="AM111" s="205" t="s">
        <v>1223</v>
      </c>
      <c r="AN111" s="22" t="s">
        <v>71</v>
      </c>
      <c r="AO111" s="95" t="s">
        <v>72</v>
      </c>
      <c r="AP111" s="96" t="s">
        <v>60</v>
      </c>
      <c r="AQ111" s="124" t="s">
        <v>1233</v>
      </c>
      <c r="AR111" s="28"/>
      <c r="AS111" s="28"/>
      <c r="AT111" s="28"/>
      <c r="AU111" s="23"/>
      <c r="AV111" s="23"/>
      <c r="AW111" s="29"/>
      <c r="AX111" s="23"/>
      <c r="AY111" s="23"/>
      <c r="BJ111" s="189"/>
      <c r="BK111" s="183"/>
    </row>
    <row r="112" spans="1:67" s="190" customFormat="1" ht="97.5" customHeight="1" x14ac:dyDescent="0.25">
      <c r="A112" s="175"/>
      <c r="B112" s="182" t="s">
        <v>694</v>
      </c>
      <c r="C112" s="187" t="s">
        <v>77</v>
      </c>
      <c r="D112" s="187" t="s">
        <v>61</v>
      </c>
      <c r="E112" s="187"/>
      <c r="F112" s="184" t="s">
        <v>811</v>
      </c>
      <c r="G112" s="190" t="s">
        <v>58</v>
      </c>
      <c r="H112" s="175"/>
      <c r="I112" s="175"/>
      <c r="J112" s="175"/>
      <c r="K112" s="191"/>
      <c r="L112" s="191"/>
      <c r="M112" s="175"/>
      <c r="N112" s="192">
        <v>10926696</v>
      </c>
      <c r="O112" s="174" t="str">
        <f>[2]!terbilang(N112)</f>
        <v>Sepuluh juta sembilan ratus dua puluh enam ribu enam ratus sembilan puluh enam</v>
      </c>
      <c r="P112" s="175"/>
      <c r="Q112" s="197"/>
      <c r="R112" s="175"/>
      <c r="S112" s="175"/>
      <c r="T112" s="198"/>
      <c r="U112" s="175"/>
      <c r="V112" s="199"/>
      <c r="W112" s="175"/>
      <c r="X112" s="175"/>
      <c r="Y112" s="175"/>
      <c r="Z112" s="191"/>
      <c r="AA112" s="199"/>
      <c r="AB112" s="175"/>
      <c r="AC112" s="176"/>
      <c r="AD112" s="108" t="s">
        <v>1239</v>
      </c>
      <c r="AE112" s="12">
        <v>9</v>
      </c>
      <c r="AF112" s="43" t="s">
        <v>1060</v>
      </c>
      <c r="AG112" s="19">
        <v>2026</v>
      </c>
      <c r="AH112" s="20"/>
      <c r="AI112" s="20"/>
      <c r="AJ112" s="19" t="s">
        <v>65</v>
      </c>
      <c r="AK112" s="232"/>
      <c r="AL112" s="43" t="s">
        <v>1229</v>
      </c>
      <c r="AM112" s="205" t="s">
        <v>1224</v>
      </c>
      <c r="AN112" s="19" t="s">
        <v>81</v>
      </c>
      <c r="AO112" s="119" t="s">
        <v>62</v>
      </c>
      <c r="AP112" s="96" t="s">
        <v>63</v>
      </c>
      <c r="AQ112" s="124" t="s">
        <v>1234</v>
      </c>
      <c r="AR112" s="31"/>
      <c r="AS112" s="31"/>
      <c r="AT112" s="31"/>
      <c r="AU112" s="18"/>
      <c r="AV112" s="18"/>
      <c r="AW112" s="32"/>
      <c r="AX112" s="18"/>
      <c r="AY112" s="18"/>
      <c r="BJ112" s="194"/>
      <c r="BK112" s="187"/>
    </row>
    <row r="113" spans="1:67" s="190" customFormat="1" ht="97.5" customHeight="1" x14ac:dyDescent="0.25">
      <c r="A113" s="175"/>
      <c r="B113" s="182" t="s">
        <v>694</v>
      </c>
      <c r="C113" s="187" t="s">
        <v>724</v>
      </c>
      <c r="D113" s="187" t="s">
        <v>64</v>
      </c>
      <c r="E113" s="187"/>
      <c r="F113" s="184" t="s">
        <v>811</v>
      </c>
      <c r="G113" s="190" t="s">
        <v>58</v>
      </c>
      <c r="H113" s="175"/>
      <c r="I113" s="175"/>
      <c r="J113" s="175"/>
      <c r="K113" s="191"/>
      <c r="L113" s="191"/>
      <c r="M113" s="175"/>
      <c r="N113" s="192">
        <v>116576</v>
      </c>
      <c r="O113" s="174" t="str">
        <f>[2]!terbilang(N113)</f>
        <v>Seratus enam belas ribu lima ratus tujuh puluh enam</v>
      </c>
      <c r="P113" s="175" t="s">
        <v>65</v>
      </c>
      <c r="Q113" s="197"/>
      <c r="R113" s="175"/>
      <c r="S113" s="175"/>
      <c r="T113" s="198"/>
      <c r="U113" s="175"/>
      <c r="V113" s="199"/>
      <c r="W113" s="175"/>
      <c r="X113" s="175"/>
      <c r="Y113" s="175"/>
      <c r="Z113" s="191"/>
      <c r="AA113" s="199"/>
      <c r="AB113" s="175"/>
      <c r="AC113" s="176"/>
      <c r="AD113" s="108" t="s">
        <v>1240</v>
      </c>
      <c r="AE113" s="12">
        <v>9</v>
      </c>
      <c r="AF113" s="43" t="s">
        <v>1060</v>
      </c>
      <c r="AG113" s="19">
        <v>2026</v>
      </c>
      <c r="AH113" s="20"/>
      <c r="AI113" s="20"/>
      <c r="AJ113" s="19"/>
      <c r="AK113" s="232" t="s">
        <v>65</v>
      </c>
      <c r="AL113" s="43" t="s">
        <v>1230</v>
      </c>
      <c r="AM113" s="205" t="s">
        <v>1225</v>
      </c>
      <c r="AN113" s="22" t="s">
        <v>73</v>
      </c>
      <c r="AO113" s="95" t="s">
        <v>74</v>
      </c>
      <c r="AP113" s="96" t="s">
        <v>66</v>
      </c>
      <c r="AQ113" s="124" t="s">
        <v>1235</v>
      </c>
      <c r="AR113" s="31"/>
      <c r="AS113" s="31"/>
      <c r="AT113" s="31"/>
      <c r="AU113" s="18"/>
      <c r="AV113" s="18"/>
      <c r="AW113" s="32"/>
      <c r="AX113" s="18"/>
      <c r="AY113" s="18"/>
      <c r="BJ113" s="194"/>
      <c r="BK113" s="187"/>
    </row>
    <row r="114" spans="1:67" ht="97.5" customHeight="1" x14ac:dyDescent="0.25">
      <c r="B114" s="27" t="s">
        <v>694</v>
      </c>
      <c r="C114" s="14" t="s">
        <v>722</v>
      </c>
      <c r="D114" s="14" t="s">
        <v>67</v>
      </c>
      <c r="F114" s="23" t="s">
        <v>811</v>
      </c>
      <c r="G114" s="18" t="s">
        <v>58</v>
      </c>
      <c r="H114" s="19"/>
      <c r="N114" s="21">
        <v>1428056</v>
      </c>
      <c r="O114" s="89" t="str">
        <f>[2]!terbilang(N114)</f>
        <v>Satu juta empat ratus dua puluh delapan ribu lima puluh enam</v>
      </c>
      <c r="P114" s="19"/>
      <c r="Q114" s="116"/>
      <c r="R114" s="19"/>
      <c r="S114" s="19"/>
      <c r="T114" s="117"/>
      <c r="U114" s="19"/>
      <c r="V114" s="118"/>
      <c r="W114" s="19"/>
      <c r="X114" s="19"/>
      <c r="Y114" s="19"/>
      <c r="Z114" s="20"/>
      <c r="AA114" s="118"/>
      <c r="AB114" s="19"/>
      <c r="AC114" s="43"/>
      <c r="AD114" s="108" t="s">
        <v>1241</v>
      </c>
      <c r="AE114" s="12">
        <v>9</v>
      </c>
      <c r="AF114" s="43" t="s">
        <v>1060</v>
      </c>
      <c r="AG114" s="19">
        <v>2026</v>
      </c>
      <c r="AH114" s="20"/>
      <c r="AI114" s="20"/>
      <c r="AJ114" s="19"/>
      <c r="AK114" s="232"/>
      <c r="AL114" s="43" t="s">
        <v>1231</v>
      </c>
      <c r="AM114" s="205" t="s">
        <v>1226</v>
      </c>
      <c r="AN114" s="19" t="s">
        <v>81</v>
      </c>
      <c r="AO114" s="119" t="s">
        <v>62</v>
      </c>
      <c r="AP114" s="96" t="s">
        <v>63</v>
      </c>
      <c r="AQ114" s="124" t="s">
        <v>1236</v>
      </c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K114" s="14"/>
    </row>
    <row r="115" spans="1:67" ht="97.5" customHeight="1" x14ac:dyDescent="0.25">
      <c r="B115" s="27" t="s">
        <v>694</v>
      </c>
      <c r="C115" s="14" t="s">
        <v>720</v>
      </c>
      <c r="D115" s="14" t="s">
        <v>68</v>
      </c>
      <c r="F115" s="23" t="s">
        <v>811</v>
      </c>
      <c r="G115" s="18" t="s">
        <v>58</v>
      </c>
      <c r="H115" s="19"/>
      <c r="N115" s="21">
        <v>21550519</v>
      </c>
      <c r="O115" s="89" t="str">
        <f>[2]!terbilang(N115)</f>
        <v>Dua puluh satu juta lima ratus lima puluh ribu lima ratus sembilan belas</v>
      </c>
      <c r="P115" s="19"/>
      <c r="Q115" s="116"/>
      <c r="R115" s="19"/>
      <c r="S115" s="19"/>
      <c r="T115" s="117"/>
      <c r="U115" s="19"/>
      <c r="V115" s="118"/>
      <c r="W115" s="19"/>
      <c r="X115" s="19"/>
      <c r="Y115" s="19"/>
      <c r="Z115" s="20"/>
      <c r="AA115" s="118"/>
      <c r="AB115" s="19"/>
      <c r="AC115" s="43"/>
      <c r="AD115" s="108" t="s">
        <v>1242</v>
      </c>
      <c r="AE115" s="12">
        <v>9</v>
      </c>
      <c r="AF115" s="43" t="s">
        <v>1060</v>
      </c>
      <c r="AG115" s="19">
        <v>2026</v>
      </c>
      <c r="AH115" s="20"/>
      <c r="AI115" s="20"/>
      <c r="AJ115" s="19"/>
      <c r="AK115" s="232"/>
      <c r="AL115" s="43" t="s">
        <v>1232</v>
      </c>
      <c r="AM115" s="205" t="s">
        <v>1227</v>
      </c>
      <c r="AN115" s="22" t="s">
        <v>71</v>
      </c>
      <c r="AO115" s="95" t="s">
        <v>72</v>
      </c>
      <c r="AP115" s="96" t="s">
        <v>60</v>
      </c>
      <c r="AQ115" s="124" t="s">
        <v>1237</v>
      </c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K115" s="14"/>
    </row>
    <row r="116" spans="1:67" s="22" customFormat="1" ht="97.5" customHeight="1" x14ac:dyDescent="0.25">
      <c r="B116" s="74" t="s">
        <v>848</v>
      </c>
      <c r="C116" s="26" t="s">
        <v>57</v>
      </c>
      <c r="D116" s="26" t="s">
        <v>59</v>
      </c>
      <c r="E116" s="26"/>
      <c r="G116" s="102" t="s">
        <v>58</v>
      </c>
      <c r="J116" s="24"/>
      <c r="K116" s="24"/>
      <c r="N116" s="103">
        <v>36787</v>
      </c>
      <c r="O116" s="43" t="str">
        <f>[2]!terbilang(N116)</f>
        <v>Tiga puluh enam ribu tujuh ratus delapan puluh tujuh</v>
      </c>
      <c r="P116" s="104"/>
      <c r="S116" s="105"/>
      <c r="U116" s="106"/>
      <c r="Y116" s="24"/>
      <c r="Z116" s="106"/>
      <c r="AB116" s="107"/>
      <c r="AD116" s="108" t="s">
        <v>1243</v>
      </c>
      <c r="AE116" s="12">
        <v>9</v>
      </c>
      <c r="AF116" s="43" t="s">
        <v>1060</v>
      </c>
      <c r="AG116" s="19">
        <v>2026</v>
      </c>
      <c r="AH116" s="19"/>
      <c r="AI116" s="24"/>
      <c r="AK116" s="231"/>
      <c r="AL116" s="109" t="s">
        <v>1249</v>
      </c>
      <c r="AM116" s="94" t="s">
        <v>1247</v>
      </c>
      <c r="AN116" s="22" t="s">
        <v>71</v>
      </c>
      <c r="AO116" s="95" t="s">
        <v>72</v>
      </c>
      <c r="AP116" s="96" t="s">
        <v>60</v>
      </c>
      <c r="AQ116" s="124" t="s">
        <v>1252</v>
      </c>
      <c r="AR116" s="103"/>
      <c r="AS116" s="97"/>
      <c r="AT116" s="110"/>
      <c r="AU116" s="110"/>
      <c r="AV116" s="110"/>
      <c r="AY116" s="111"/>
      <c r="BK116" s="112"/>
      <c r="BL116" s="103"/>
      <c r="BM116" s="113"/>
      <c r="BO116" s="110"/>
    </row>
    <row r="117" spans="1:67" s="19" customFormat="1" ht="97.5" customHeight="1" x14ac:dyDescent="0.25">
      <c r="B117" s="74" t="s">
        <v>848</v>
      </c>
      <c r="C117" s="30" t="s">
        <v>57</v>
      </c>
      <c r="D117" s="30" t="s">
        <v>61</v>
      </c>
      <c r="E117" s="30"/>
      <c r="G117" s="114" t="s">
        <v>58</v>
      </c>
      <c r="J117" s="20"/>
      <c r="K117" s="20"/>
      <c r="N117" s="115">
        <v>4312548</v>
      </c>
      <c r="O117" s="43" t="str">
        <f>[2]!terbilang(N117)</f>
        <v>Empat juta tiga ratus dua belas ribu lima ratus empat puluh delapan</v>
      </c>
      <c r="P117" s="116"/>
      <c r="S117" s="117"/>
      <c r="U117" s="118"/>
      <c r="Y117" s="20"/>
      <c r="Z117" s="118"/>
      <c r="AB117" s="43"/>
      <c r="AD117" s="108" t="s">
        <v>1244</v>
      </c>
      <c r="AE117" s="12">
        <v>9</v>
      </c>
      <c r="AF117" s="43" t="s">
        <v>1060</v>
      </c>
      <c r="AG117" s="19">
        <v>2026</v>
      </c>
      <c r="AI117" s="20"/>
      <c r="AK117" s="232"/>
      <c r="AL117" s="107" t="s">
        <v>1250</v>
      </c>
      <c r="AM117" s="94" t="s">
        <v>1248</v>
      </c>
      <c r="AN117" s="19" t="s">
        <v>81</v>
      </c>
      <c r="AO117" s="119" t="s">
        <v>62</v>
      </c>
      <c r="AP117" s="96" t="s">
        <v>63</v>
      </c>
      <c r="AQ117" s="124" t="s">
        <v>1253</v>
      </c>
      <c r="AR117" s="115"/>
      <c r="AS117" s="97"/>
      <c r="AT117" s="120"/>
      <c r="AU117" s="120"/>
      <c r="AV117" s="120"/>
      <c r="AY117" s="121"/>
      <c r="BK117" s="122"/>
      <c r="BL117" s="115"/>
      <c r="BM117" s="123"/>
      <c r="BO117" s="120"/>
    </row>
    <row r="118" spans="1:67" s="175" customFormat="1" ht="97.5" customHeight="1" x14ac:dyDescent="0.25">
      <c r="B118" s="173" t="s">
        <v>848</v>
      </c>
      <c r="C118" s="193" t="s">
        <v>57</v>
      </c>
      <c r="D118" s="193" t="s">
        <v>67</v>
      </c>
      <c r="E118" s="193"/>
      <c r="G118" s="195" t="s">
        <v>58</v>
      </c>
      <c r="J118" s="191"/>
      <c r="K118" s="191"/>
      <c r="N118" s="196">
        <v>116576</v>
      </c>
      <c r="O118" s="176" t="str">
        <f>[2]!terbilang(N118)</f>
        <v>Seratus enam belas ribu lima ratus tujuh puluh enam</v>
      </c>
      <c r="P118" s="197"/>
      <c r="S118" s="198"/>
      <c r="U118" s="199"/>
      <c r="Y118" s="191"/>
      <c r="Z118" s="199"/>
      <c r="AB118" s="176"/>
      <c r="AD118" s="83" t="s">
        <v>1245</v>
      </c>
      <c r="AE118" s="188">
        <v>9</v>
      </c>
      <c r="AF118" s="176" t="s">
        <v>1060</v>
      </c>
      <c r="AG118" s="175">
        <v>2026</v>
      </c>
      <c r="AI118" s="191"/>
      <c r="AK118" s="238"/>
      <c r="AL118" s="176" t="s">
        <v>1251</v>
      </c>
      <c r="AM118" s="177" t="s">
        <v>1256</v>
      </c>
      <c r="AN118" s="175" t="s">
        <v>81</v>
      </c>
      <c r="AO118" s="200" t="s">
        <v>62</v>
      </c>
      <c r="AP118" s="179" t="s">
        <v>63</v>
      </c>
      <c r="AQ118" s="180" t="s">
        <v>1254</v>
      </c>
      <c r="AR118" s="196"/>
      <c r="AS118" s="181"/>
      <c r="AT118" s="201"/>
      <c r="AU118" s="201"/>
      <c r="AV118" s="201"/>
      <c r="AY118" s="202"/>
      <c r="BK118" s="203"/>
      <c r="BL118" s="196"/>
      <c r="BM118" s="204"/>
      <c r="BO118" s="201"/>
    </row>
    <row r="119" spans="1:67" s="84" customFormat="1" ht="97.5" customHeight="1" x14ac:dyDescent="0.25">
      <c r="B119" s="74" t="s">
        <v>848</v>
      </c>
      <c r="C119" s="85" t="s">
        <v>57</v>
      </c>
      <c r="D119" s="85" t="s">
        <v>68</v>
      </c>
      <c r="E119" s="85"/>
      <c r="G119" s="86" t="s">
        <v>58</v>
      </c>
      <c r="J119" s="87"/>
      <c r="K119" s="87"/>
      <c r="N119" s="88">
        <v>90472</v>
      </c>
      <c r="O119" s="89" t="str">
        <f>[2]!terbilang(N119)</f>
        <v>Sembilan puluh ribu empat ratus tujuh puluh dua</v>
      </c>
      <c r="P119" s="90"/>
      <c r="S119" s="91"/>
      <c r="U119" s="92"/>
      <c r="Y119" s="87"/>
      <c r="Z119" s="92"/>
      <c r="AB119" s="89"/>
      <c r="AD119" s="108" t="s">
        <v>1246</v>
      </c>
      <c r="AE119" s="12">
        <v>9</v>
      </c>
      <c r="AF119" s="43" t="s">
        <v>1060</v>
      </c>
      <c r="AG119" s="19">
        <v>2026</v>
      </c>
      <c r="AH119" s="19"/>
      <c r="AI119" s="87"/>
      <c r="AK119" s="237"/>
      <c r="AL119" s="43" t="s">
        <v>65</v>
      </c>
      <c r="AM119" s="94" t="s">
        <v>1257</v>
      </c>
      <c r="AN119" s="22" t="s">
        <v>71</v>
      </c>
      <c r="AO119" s="95" t="s">
        <v>72</v>
      </c>
      <c r="AP119" s="96" t="s">
        <v>60</v>
      </c>
      <c r="AQ119" s="124" t="s">
        <v>1255</v>
      </c>
      <c r="AR119" s="88"/>
      <c r="AS119" s="97"/>
      <c r="AT119" s="98"/>
      <c r="AU119" s="98"/>
      <c r="AV119" s="98"/>
      <c r="AY119" s="99"/>
      <c r="BK119" s="100"/>
      <c r="BL119" s="88"/>
      <c r="BM119" s="101"/>
      <c r="BO119" s="98"/>
    </row>
    <row r="120" spans="1:67" ht="97.5" customHeight="1" x14ac:dyDescent="0.25">
      <c r="A120" s="12"/>
      <c r="B120" s="27" t="s">
        <v>694</v>
      </c>
      <c r="C120" s="13"/>
      <c r="D120" s="13"/>
      <c r="E120" s="13"/>
      <c r="F120" s="15"/>
      <c r="G120" s="15" t="s">
        <v>58</v>
      </c>
      <c r="I120" s="12"/>
      <c r="J120" s="12"/>
      <c r="K120" s="16"/>
      <c r="L120" s="16"/>
      <c r="M120" s="12"/>
      <c r="N120" s="17">
        <v>193813900</v>
      </c>
      <c r="O120" s="89" t="str">
        <f>[2]!terbilang(N120)</f>
        <v>Seratus sembilan puluh tiga juta delapan ratus tiga belas ribu sembilan ratus</v>
      </c>
      <c r="Q120" s="207"/>
      <c r="T120" s="208"/>
      <c r="V120" s="36"/>
      <c r="AD120" s="108" t="s">
        <v>1264</v>
      </c>
      <c r="AE120" s="12">
        <v>15</v>
      </c>
      <c r="AF120" s="43" t="s">
        <v>1060</v>
      </c>
      <c r="AG120" s="19">
        <v>2026</v>
      </c>
      <c r="AL120" s="41" t="s">
        <v>1280</v>
      </c>
      <c r="AM120" s="210" t="s">
        <v>1279</v>
      </c>
      <c r="AN120" s="12"/>
      <c r="AO120" s="12"/>
      <c r="AP120" s="211"/>
      <c r="AQ120" s="124" t="s">
        <v>1266</v>
      </c>
    </row>
    <row r="121" spans="1:67" s="15" customFormat="1" ht="97.5" customHeight="1" x14ac:dyDescent="0.25">
      <c r="A121" s="12"/>
      <c r="B121" s="27" t="s">
        <v>848</v>
      </c>
      <c r="C121" s="14" t="s">
        <v>720</v>
      </c>
      <c r="D121" s="14" t="s">
        <v>68</v>
      </c>
      <c r="E121" s="13" t="s">
        <v>744</v>
      </c>
      <c r="F121" s="18" t="s">
        <v>1261</v>
      </c>
      <c r="G121" s="18" t="s">
        <v>1262</v>
      </c>
      <c r="H121" s="12" t="s">
        <v>1263</v>
      </c>
      <c r="I121" s="12" t="s">
        <v>1263</v>
      </c>
      <c r="J121" s="36">
        <v>6</v>
      </c>
      <c r="K121" s="16" t="s">
        <v>75</v>
      </c>
      <c r="L121" s="16" t="s">
        <v>75</v>
      </c>
      <c r="M121" s="12">
        <v>2026</v>
      </c>
      <c r="N121" s="17">
        <v>348719232</v>
      </c>
      <c r="O121" s="89" t="str">
        <f>[2]!terbilang(N121)</f>
        <v>Tiga ratus empat puluh delapan juta tujuh ratus sembilan belas ribu dua ratus tiga puluh dua</v>
      </c>
      <c r="P121" s="12" t="s">
        <v>1268</v>
      </c>
      <c r="Q121" s="229" t="s">
        <v>1271</v>
      </c>
      <c r="R121" s="12">
        <v>2</v>
      </c>
      <c r="S121" s="12">
        <v>5</v>
      </c>
      <c r="T121" s="117" t="s">
        <v>1269</v>
      </c>
      <c r="U121" s="12">
        <v>2021</v>
      </c>
      <c r="V121" s="36" t="s">
        <v>1270</v>
      </c>
      <c r="W121" s="12">
        <v>29</v>
      </c>
      <c r="X121" s="12" t="s">
        <v>1269</v>
      </c>
      <c r="Y121" s="12">
        <v>2021</v>
      </c>
      <c r="Z121" s="16" t="s">
        <v>1272</v>
      </c>
      <c r="AA121" s="36" t="s">
        <v>1273</v>
      </c>
      <c r="AB121" s="12" t="s">
        <v>1274</v>
      </c>
      <c r="AC121" s="41" t="s">
        <v>1305</v>
      </c>
      <c r="AD121" s="108" t="s">
        <v>1306</v>
      </c>
      <c r="AE121" s="12">
        <v>15</v>
      </c>
      <c r="AF121" s="43" t="s">
        <v>1060</v>
      </c>
      <c r="AG121" s="19">
        <v>2026</v>
      </c>
      <c r="AH121" s="16" t="s">
        <v>1267</v>
      </c>
      <c r="AI121" s="16" t="s">
        <v>1267</v>
      </c>
      <c r="AJ121" s="12" t="s">
        <v>1275</v>
      </c>
      <c r="AK121" s="234">
        <v>46118</v>
      </c>
      <c r="AL121" s="43" t="s">
        <v>1265</v>
      </c>
      <c r="AM121" s="205"/>
      <c r="AN121" s="22" t="s">
        <v>71</v>
      </c>
      <c r="AO121" s="95" t="s">
        <v>72</v>
      </c>
      <c r="AP121" s="96" t="s">
        <v>60</v>
      </c>
      <c r="AQ121" s="124" t="s">
        <v>1307</v>
      </c>
      <c r="AR121" s="70"/>
      <c r="AS121" s="70"/>
      <c r="AT121" s="70"/>
      <c r="AW121" s="71"/>
      <c r="AX121" s="72"/>
      <c r="BJ121" s="71"/>
      <c r="BK121" s="13"/>
    </row>
    <row r="122" spans="1:67" s="84" customFormat="1" ht="97.5" customHeight="1" x14ac:dyDescent="0.25">
      <c r="B122" s="74" t="s">
        <v>848</v>
      </c>
      <c r="C122" s="47" t="s">
        <v>77</v>
      </c>
      <c r="D122" s="47" t="s">
        <v>61</v>
      </c>
      <c r="E122" s="85" t="s">
        <v>1087</v>
      </c>
      <c r="F122" s="84" t="s">
        <v>745</v>
      </c>
      <c r="G122" s="86" t="s">
        <v>1281</v>
      </c>
      <c r="H122" s="84" t="s">
        <v>1282</v>
      </c>
      <c r="I122" s="84" t="s">
        <v>1282</v>
      </c>
      <c r="J122" s="92">
        <v>26</v>
      </c>
      <c r="K122" s="87" t="s">
        <v>1283</v>
      </c>
      <c r="L122" s="84" t="s">
        <v>1283</v>
      </c>
      <c r="M122" s="84">
        <v>2026</v>
      </c>
      <c r="N122" s="88">
        <v>92518500</v>
      </c>
      <c r="O122" s="89" t="str">
        <f>[2]!terbilang(N122)</f>
        <v>Sembilan puluh dua juta lima ratus delapan belas ribu lima ratus</v>
      </c>
      <c r="P122" s="90" t="s">
        <v>1284</v>
      </c>
      <c r="Q122" s="124" t="s">
        <v>1285</v>
      </c>
      <c r="R122" s="84">
        <v>3</v>
      </c>
      <c r="S122" s="91">
        <v>11</v>
      </c>
      <c r="T122" s="84" t="s">
        <v>1320</v>
      </c>
      <c r="U122" s="92">
        <v>2025</v>
      </c>
      <c r="V122" s="124" t="s">
        <v>1321</v>
      </c>
      <c r="W122" s="84">
        <v>19</v>
      </c>
      <c r="X122" s="84" t="s">
        <v>1322</v>
      </c>
      <c r="Y122" s="87" t="s">
        <v>1323</v>
      </c>
      <c r="Z122" s="92" t="s">
        <v>1286</v>
      </c>
      <c r="AA122" s="124" t="s">
        <v>1287</v>
      </c>
      <c r="AB122" s="89" t="s">
        <v>1288</v>
      </c>
      <c r="AC122" s="84" t="s">
        <v>1324</v>
      </c>
      <c r="AD122" s="108" t="s">
        <v>1315</v>
      </c>
      <c r="AE122" s="19">
        <v>16</v>
      </c>
      <c r="AF122" s="43" t="s">
        <v>1060</v>
      </c>
      <c r="AG122" s="19">
        <v>2026</v>
      </c>
      <c r="AH122" s="16" t="s">
        <v>1267</v>
      </c>
      <c r="AI122" s="16" t="s">
        <v>1267</v>
      </c>
      <c r="AJ122" s="84" t="s">
        <v>1290</v>
      </c>
      <c r="AK122" s="237">
        <v>46076</v>
      </c>
      <c r="AL122" s="43" t="s">
        <v>1289</v>
      </c>
      <c r="AM122" s="94"/>
      <c r="AN122" s="22" t="s">
        <v>1091</v>
      </c>
      <c r="AO122" s="95" t="s">
        <v>799</v>
      </c>
      <c r="AP122" s="96" t="s">
        <v>800</v>
      </c>
      <c r="AQ122" s="124" t="s">
        <v>1319</v>
      </c>
      <c r="AR122" s="88"/>
      <c r="AS122" s="97"/>
      <c r="AT122" s="98"/>
      <c r="AU122" s="98"/>
      <c r="AV122" s="98"/>
      <c r="AY122" s="99"/>
      <c r="BK122" s="100"/>
      <c r="BL122" s="88"/>
      <c r="BM122" s="101"/>
      <c r="BO122" s="98"/>
    </row>
    <row r="123" spans="1:67" s="15" customFormat="1" ht="97.5" customHeight="1" x14ac:dyDescent="0.25">
      <c r="A123" s="12"/>
      <c r="B123" s="27" t="s">
        <v>848</v>
      </c>
      <c r="C123" s="14" t="s">
        <v>720</v>
      </c>
      <c r="D123" s="14" t="s">
        <v>68</v>
      </c>
      <c r="E123" s="13" t="s">
        <v>744</v>
      </c>
      <c r="F123" s="18" t="s">
        <v>1261</v>
      </c>
      <c r="G123" s="18" t="s">
        <v>1308</v>
      </c>
      <c r="H123" s="12" t="s">
        <v>1309</v>
      </c>
      <c r="I123" s="12" t="s">
        <v>1309</v>
      </c>
      <c r="J123" s="36">
        <v>11</v>
      </c>
      <c r="K123" s="16" t="s">
        <v>75</v>
      </c>
      <c r="L123" s="16" t="s">
        <v>75</v>
      </c>
      <c r="M123" s="12">
        <v>2026</v>
      </c>
      <c r="N123" s="17">
        <v>192791016</v>
      </c>
      <c r="O123" s="89" t="str">
        <f>[2]!terbilang(N123)</f>
        <v>Seratus sembilan puluh dua juta tujuh ratus sembilan puluh satu ribu enam belas</v>
      </c>
      <c r="P123" s="12" t="s">
        <v>1310</v>
      </c>
      <c r="Q123" s="229" t="s">
        <v>1327</v>
      </c>
      <c r="R123" s="12">
        <v>36</v>
      </c>
      <c r="S123" s="12">
        <v>23</v>
      </c>
      <c r="T123" s="117" t="s">
        <v>1311</v>
      </c>
      <c r="U123" s="12">
        <v>2021</v>
      </c>
      <c r="V123" s="36" t="s">
        <v>1312</v>
      </c>
      <c r="W123" s="12">
        <v>21</v>
      </c>
      <c r="X123" s="12" t="s">
        <v>75</v>
      </c>
      <c r="Y123" s="12">
        <v>2019</v>
      </c>
      <c r="Z123" s="16" t="s">
        <v>1272</v>
      </c>
      <c r="AA123" s="36" t="s">
        <v>1313</v>
      </c>
      <c r="AB123" s="12" t="s">
        <v>1314</v>
      </c>
      <c r="AC123" s="41" t="s">
        <v>1318</v>
      </c>
      <c r="AD123" s="108" t="s">
        <v>1325</v>
      </c>
      <c r="AE123" s="12">
        <v>16</v>
      </c>
      <c r="AF123" s="43" t="s">
        <v>1060</v>
      </c>
      <c r="AG123" s="19">
        <v>2026</v>
      </c>
      <c r="AH123" s="16" t="s">
        <v>1267</v>
      </c>
      <c r="AI123" s="16" t="s">
        <v>1267</v>
      </c>
      <c r="AJ123" s="12" t="s">
        <v>1316</v>
      </c>
      <c r="AK123" s="234">
        <v>46118</v>
      </c>
      <c r="AL123" s="43" t="s">
        <v>1317</v>
      </c>
      <c r="AM123" s="205"/>
      <c r="AN123" s="22" t="s">
        <v>71</v>
      </c>
      <c r="AO123" s="95" t="s">
        <v>72</v>
      </c>
      <c r="AP123" s="96" t="s">
        <v>60</v>
      </c>
      <c r="AQ123" s="124" t="s">
        <v>1326</v>
      </c>
      <c r="AR123" s="70"/>
      <c r="AS123" s="70"/>
      <c r="AT123" s="70"/>
      <c r="AW123" s="71"/>
      <c r="AX123" s="72"/>
      <c r="BJ123" s="71"/>
      <c r="BK123" s="13"/>
    </row>
    <row r="124" spans="1:67" s="15" customFormat="1" ht="97.5" customHeight="1" x14ac:dyDescent="0.25">
      <c r="A124" s="12"/>
      <c r="B124" s="27" t="s">
        <v>848</v>
      </c>
      <c r="C124" s="14" t="s">
        <v>720</v>
      </c>
      <c r="D124" s="14" t="s">
        <v>68</v>
      </c>
      <c r="E124" s="13" t="s">
        <v>744</v>
      </c>
      <c r="F124" s="18" t="s">
        <v>1261</v>
      </c>
      <c r="G124" s="18" t="s">
        <v>1338</v>
      </c>
      <c r="H124" s="12" t="s">
        <v>1339</v>
      </c>
      <c r="I124" s="12" t="s">
        <v>1339</v>
      </c>
      <c r="J124" s="36">
        <v>6</v>
      </c>
      <c r="K124" s="16" t="s">
        <v>75</v>
      </c>
      <c r="L124" s="16" t="s">
        <v>75</v>
      </c>
      <c r="M124" s="12">
        <v>2026</v>
      </c>
      <c r="N124" s="17">
        <v>183343593</v>
      </c>
      <c r="O124" s="89" t="str">
        <f>[2]!terbilang(N124)</f>
        <v>Seratus delapan puluh tiga juta tiga ratus empat puluh tiga ribu lima ratus sembilan puluh tiga</v>
      </c>
      <c r="P124" s="12" t="s">
        <v>1337</v>
      </c>
      <c r="Q124" s="229" t="s">
        <v>1336</v>
      </c>
      <c r="R124" s="12">
        <v>1</v>
      </c>
      <c r="S124" s="12">
        <v>5</v>
      </c>
      <c r="T124" s="117" t="s">
        <v>1269</v>
      </c>
      <c r="U124" s="12">
        <v>2021</v>
      </c>
      <c r="V124" s="36" t="s">
        <v>1335</v>
      </c>
      <c r="W124" s="12">
        <v>28</v>
      </c>
      <c r="X124" s="12" t="s">
        <v>1269</v>
      </c>
      <c r="Y124" s="209">
        <v>2021</v>
      </c>
      <c r="Z124" s="16" t="s">
        <v>1272</v>
      </c>
      <c r="AA124" s="36" t="s">
        <v>1334</v>
      </c>
      <c r="AB124" s="12" t="s">
        <v>1274</v>
      </c>
      <c r="AC124" s="41" t="s">
        <v>1305</v>
      </c>
      <c r="AD124" s="108" t="s">
        <v>1332</v>
      </c>
      <c r="AE124" s="12">
        <v>21</v>
      </c>
      <c r="AF124" s="43" t="s">
        <v>1060</v>
      </c>
      <c r="AG124" s="19">
        <v>2026</v>
      </c>
      <c r="AH124" s="16" t="s">
        <v>1267</v>
      </c>
      <c r="AI124" s="16" t="s">
        <v>1267</v>
      </c>
      <c r="AJ124" s="12" t="s">
        <v>1330</v>
      </c>
      <c r="AK124" s="234">
        <v>46120</v>
      </c>
      <c r="AL124" s="43" t="s">
        <v>1331</v>
      </c>
      <c r="AM124" s="205"/>
      <c r="AN124" s="22" t="s">
        <v>71</v>
      </c>
      <c r="AO124" s="95" t="s">
        <v>72</v>
      </c>
      <c r="AP124" s="96" t="s">
        <v>60</v>
      </c>
      <c r="AQ124" s="124" t="s">
        <v>1333</v>
      </c>
      <c r="AR124" s="70"/>
      <c r="AS124" s="70"/>
      <c r="AT124" s="70"/>
      <c r="AW124" s="71"/>
      <c r="AX124" s="72"/>
      <c r="BJ124" s="71"/>
      <c r="BK124" s="13"/>
    </row>
    <row r="125" spans="1:67" s="239" customFormat="1" ht="47.25" x14ac:dyDescent="0.25">
      <c r="C125" s="240" t="s">
        <v>57</v>
      </c>
      <c r="D125" s="240" t="s">
        <v>1291</v>
      </c>
      <c r="E125" s="240" t="s">
        <v>1292</v>
      </c>
      <c r="F125" s="241" t="s">
        <v>1300</v>
      </c>
      <c r="G125" s="241" t="s">
        <v>82</v>
      </c>
      <c r="H125" s="239" t="s">
        <v>1301</v>
      </c>
      <c r="I125" s="239" t="s">
        <v>1301</v>
      </c>
      <c r="J125" s="239">
        <v>25</v>
      </c>
      <c r="K125" s="242" t="s">
        <v>75</v>
      </c>
      <c r="L125" s="242" t="s">
        <v>75</v>
      </c>
      <c r="M125" s="239">
        <v>2026</v>
      </c>
      <c r="N125" s="243">
        <v>195651870</v>
      </c>
      <c r="O125" s="244" t="str">
        <f>[2]!terbilang(N125)</f>
        <v>Seratus sembilan puluh lima juta enam ratus lima puluh satu ribu delapan ratus tujuh puluh</v>
      </c>
      <c r="P125" s="239" t="s">
        <v>1293</v>
      </c>
      <c r="Q125" s="245" t="s">
        <v>1294</v>
      </c>
      <c r="R125" s="239">
        <v>9</v>
      </c>
      <c r="S125" s="239">
        <v>4</v>
      </c>
      <c r="T125" s="246" t="s">
        <v>1295</v>
      </c>
      <c r="U125" s="239">
        <v>2024</v>
      </c>
      <c r="V125" s="247" t="s">
        <v>1296</v>
      </c>
      <c r="W125" s="239">
        <v>18</v>
      </c>
      <c r="X125" s="239" t="s">
        <v>70</v>
      </c>
      <c r="Y125" s="239">
        <v>2021</v>
      </c>
      <c r="Z125" s="242" t="s">
        <v>1297</v>
      </c>
      <c r="AA125" s="247" t="s">
        <v>1298</v>
      </c>
      <c r="AB125" s="239" t="s">
        <v>1302</v>
      </c>
      <c r="AC125" s="244" t="s">
        <v>1299</v>
      </c>
      <c r="AD125" s="244"/>
      <c r="AE125" s="248">
        <v>15</v>
      </c>
      <c r="AF125" s="244" t="s">
        <v>1060</v>
      </c>
      <c r="AG125" s="239">
        <v>2026</v>
      </c>
      <c r="AH125" s="242" t="s">
        <v>1267</v>
      </c>
      <c r="AI125" s="242" t="s">
        <v>1267</v>
      </c>
      <c r="AJ125" s="239" t="s">
        <v>1303</v>
      </c>
      <c r="AK125" s="249">
        <v>46119</v>
      </c>
      <c r="AL125" s="244" t="s">
        <v>1304</v>
      </c>
      <c r="AM125" s="250"/>
      <c r="AN125" s="239" t="s">
        <v>81</v>
      </c>
      <c r="AO125" s="251" t="s">
        <v>62</v>
      </c>
      <c r="AP125" s="252" t="s">
        <v>63</v>
      </c>
      <c r="AQ125" s="253"/>
      <c r="AR125" s="253"/>
      <c r="AS125" s="253"/>
      <c r="AV125" s="254"/>
      <c r="BI125" s="255"/>
      <c r="BJ125" s="256"/>
      <c r="BK125" s="257"/>
      <c r="BL125" s="253"/>
    </row>
  </sheetData>
  <autoFilter ref="A1:BJ6"/>
  <pageMargins left="0.18" right="0.16" top="0.75" bottom="0.75" header="0.3" footer="0.3"/>
  <pageSetup paperSize="258" scale="14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E22"/>
  <sheetViews>
    <sheetView zoomScale="115" zoomScaleNormal="115" workbookViewId="0">
      <selection activeCell="L22" sqref="L22"/>
    </sheetView>
  </sheetViews>
  <sheetFormatPr defaultRowHeight="15" x14ac:dyDescent="0.25"/>
  <cols>
    <col min="1" max="1" width="9.140625" style="160"/>
    <col min="2" max="2" width="30.5703125" style="159" bestFit="1" customWidth="1"/>
    <col min="3" max="3" width="13.42578125" style="160" bestFit="1" customWidth="1"/>
    <col min="4" max="4" width="19.5703125" style="158" bestFit="1" customWidth="1"/>
    <col min="5" max="5" width="15.140625" style="157" bestFit="1" customWidth="1"/>
    <col min="6" max="16384" width="9.140625" style="157"/>
  </cols>
  <sheetData>
    <row r="5" spans="1:5" x14ac:dyDescent="0.25">
      <c r="A5" s="163" t="s">
        <v>1221</v>
      </c>
      <c r="B5" s="163" t="s">
        <v>1222</v>
      </c>
      <c r="C5" s="163" t="s">
        <v>1201</v>
      </c>
      <c r="D5" s="171" t="s">
        <v>1202</v>
      </c>
      <c r="E5" s="172" t="s">
        <v>1220</v>
      </c>
    </row>
    <row r="6" spans="1:5" ht="15.75" x14ac:dyDescent="0.25">
      <c r="A6" s="165">
        <v>1</v>
      </c>
      <c r="B6" s="166" t="s">
        <v>1124</v>
      </c>
      <c r="C6" s="167" t="s">
        <v>1203</v>
      </c>
      <c r="D6" s="168">
        <v>6825000</v>
      </c>
      <c r="E6" s="161" t="s">
        <v>1219</v>
      </c>
    </row>
    <row r="7" spans="1:5" ht="15.75" x14ac:dyDescent="0.25">
      <c r="A7" s="165">
        <v>2</v>
      </c>
      <c r="B7" s="166" t="s">
        <v>1138</v>
      </c>
      <c r="C7" s="167" t="s">
        <v>1204</v>
      </c>
      <c r="D7" s="168">
        <v>6825000</v>
      </c>
      <c r="E7" s="161" t="s">
        <v>1219</v>
      </c>
    </row>
    <row r="8" spans="1:5" ht="15.75" x14ac:dyDescent="0.25">
      <c r="A8" s="165">
        <v>3</v>
      </c>
      <c r="B8" s="166" t="s">
        <v>1127</v>
      </c>
      <c r="C8" s="167" t="s">
        <v>1205</v>
      </c>
      <c r="D8" s="168">
        <v>6734000</v>
      </c>
      <c r="E8" s="161" t="s">
        <v>1219</v>
      </c>
    </row>
    <row r="9" spans="1:5" ht="15.75" x14ac:dyDescent="0.25">
      <c r="A9" s="165">
        <v>4</v>
      </c>
      <c r="B9" s="166" t="s">
        <v>1114</v>
      </c>
      <c r="C9" s="167" t="s">
        <v>1206</v>
      </c>
      <c r="D9" s="168">
        <v>6825000</v>
      </c>
      <c r="E9" s="161" t="s">
        <v>1219</v>
      </c>
    </row>
    <row r="10" spans="1:5" ht="15.75" x14ac:dyDescent="0.25">
      <c r="A10" s="165">
        <v>5</v>
      </c>
      <c r="B10" s="166" t="s">
        <v>1131</v>
      </c>
      <c r="C10" s="167" t="s">
        <v>1207</v>
      </c>
      <c r="D10" s="168">
        <v>6819510</v>
      </c>
      <c r="E10" s="161" t="s">
        <v>1219</v>
      </c>
    </row>
    <row r="11" spans="1:5" ht="15.75" x14ac:dyDescent="0.25">
      <c r="A11" s="165">
        <v>6</v>
      </c>
      <c r="B11" s="166" t="s">
        <v>1134</v>
      </c>
      <c r="C11" s="167" t="s">
        <v>1208</v>
      </c>
      <c r="D11" s="168">
        <v>6800294</v>
      </c>
      <c r="E11" s="161" t="s">
        <v>1219</v>
      </c>
    </row>
    <row r="12" spans="1:5" ht="15.75" x14ac:dyDescent="0.25">
      <c r="A12" s="165">
        <v>7</v>
      </c>
      <c r="B12" s="166" t="s">
        <v>1090</v>
      </c>
      <c r="C12" s="167" t="s">
        <v>1209</v>
      </c>
      <c r="D12" s="169">
        <v>6386699</v>
      </c>
      <c r="E12" s="161" t="s">
        <v>1219</v>
      </c>
    </row>
    <row r="13" spans="1:5" ht="15.75" x14ac:dyDescent="0.25">
      <c r="A13" s="165">
        <v>8</v>
      </c>
      <c r="B13" s="166" t="s">
        <v>1099</v>
      </c>
      <c r="C13" s="167" t="s">
        <v>1210</v>
      </c>
      <c r="D13" s="168">
        <v>6824085</v>
      </c>
      <c r="E13" s="161" t="s">
        <v>1219</v>
      </c>
    </row>
    <row r="14" spans="1:5" ht="16.5" customHeight="1" x14ac:dyDescent="0.25">
      <c r="A14" s="165">
        <v>9</v>
      </c>
      <c r="B14" s="166" t="s">
        <v>1096</v>
      </c>
      <c r="C14" s="167" t="s">
        <v>1211</v>
      </c>
      <c r="D14" s="168">
        <v>6804869</v>
      </c>
      <c r="E14" s="161" t="s">
        <v>1219</v>
      </c>
    </row>
    <row r="15" spans="1:5" ht="15.75" x14ac:dyDescent="0.25">
      <c r="A15" s="165">
        <v>10</v>
      </c>
      <c r="B15" s="166" t="s">
        <v>1102</v>
      </c>
      <c r="C15" s="170" t="s">
        <v>1212</v>
      </c>
      <c r="D15" s="168">
        <v>6825000</v>
      </c>
      <c r="E15" s="161" t="s">
        <v>1219</v>
      </c>
    </row>
    <row r="16" spans="1:5" ht="15.75" x14ac:dyDescent="0.25">
      <c r="A16" s="165">
        <v>11</v>
      </c>
      <c r="B16" s="166" t="s">
        <v>1105</v>
      </c>
      <c r="C16" s="170" t="s">
        <v>1214</v>
      </c>
      <c r="D16" s="168">
        <v>6749967</v>
      </c>
      <c r="E16" s="161" t="s">
        <v>1219</v>
      </c>
    </row>
    <row r="17" spans="1:5" ht="15.75" x14ac:dyDescent="0.25">
      <c r="A17" s="165">
        <v>12</v>
      </c>
      <c r="B17" s="166" t="s">
        <v>1108</v>
      </c>
      <c r="C17" s="170" t="s">
        <v>1218</v>
      </c>
      <c r="D17" s="168">
        <v>6803954</v>
      </c>
      <c r="E17" s="161" t="s">
        <v>1219</v>
      </c>
    </row>
    <row r="18" spans="1:5" ht="15.75" x14ac:dyDescent="0.25">
      <c r="A18" s="165">
        <v>13</v>
      </c>
      <c r="B18" s="166" t="s">
        <v>1111</v>
      </c>
      <c r="C18" s="170" t="s">
        <v>1215</v>
      </c>
      <c r="D18" s="168">
        <v>6825000</v>
      </c>
      <c r="E18" s="161" t="s">
        <v>1219</v>
      </c>
    </row>
    <row r="19" spans="1:5" ht="15.75" x14ac:dyDescent="0.25">
      <c r="A19" s="165">
        <v>14</v>
      </c>
      <c r="B19" s="166" t="s">
        <v>1117</v>
      </c>
      <c r="C19" s="167" t="s">
        <v>1216</v>
      </c>
      <c r="D19" s="168">
        <v>6823170</v>
      </c>
      <c r="E19" s="161" t="s">
        <v>1219</v>
      </c>
    </row>
    <row r="20" spans="1:5" ht="14.25" customHeight="1" x14ac:dyDescent="0.25">
      <c r="A20" s="165">
        <v>15</v>
      </c>
      <c r="B20" s="166" t="s">
        <v>1120</v>
      </c>
      <c r="C20" s="167" t="s">
        <v>1213</v>
      </c>
      <c r="D20" s="168">
        <v>5099250</v>
      </c>
      <c r="E20" s="161" t="s">
        <v>1219</v>
      </c>
    </row>
    <row r="21" spans="1:5" ht="15.75" x14ac:dyDescent="0.25">
      <c r="A21" s="165">
        <v>16</v>
      </c>
      <c r="B21" s="166" t="s">
        <v>1136</v>
      </c>
      <c r="C21" s="167" t="s">
        <v>1217</v>
      </c>
      <c r="D21" s="168">
        <v>5051394</v>
      </c>
      <c r="E21" s="161" t="s">
        <v>1219</v>
      </c>
    </row>
    <row r="22" spans="1:5" x14ac:dyDescent="0.25">
      <c r="A22" s="165"/>
      <c r="B22" s="162"/>
      <c r="C22" s="165"/>
      <c r="D22" s="164">
        <f>SUM(D6:D21)</f>
        <v>105022192</v>
      </c>
      <c r="E22" s="16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245"/>
  <sheetViews>
    <sheetView view="pageBreakPreview" topLeftCell="A147" zoomScale="60" zoomScaleNormal="80" workbookViewId="0">
      <selection activeCell="D245" sqref="D245"/>
    </sheetView>
  </sheetViews>
  <sheetFormatPr defaultRowHeight="15" x14ac:dyDescent="0.25"/>
  <cols>
    <col min="1" max="1" width="6.28515625" customWidth="1"/>
    <col min="2" max="2" width="34.140625" customWidth="1"/>
    <col min="3" max="3" width="39" customWidth="1"/>
    <col min="4" max="4" width="39.7109375" bestFit="1" customWidth="1"/>
    <col min="5" max="5" width="7.28515625" customWidth="1"/>
    <col min="6" max="6" width="16" customWidth="1"/>
    <col min="7" max="7" width="30.28515625" customWidth="1"/>
    <col min="8" max="8" width="82" customWidth="1"/>
  </cols>
  <sheetData>
    <row r="2" spans="1:7" ht="31.5" x14ac:dyDescent="0.25">
      <c r="A2" s="49" t="s">
        <v>154</v>
      </c>
      <c r="B2" s="15" t="s">
        <v>122</v>
      </c>
      <c r="C2" s="14" t="s">
        <v>124</v>
      </c>
      <c r="D2" s="22">
        <v>25</v>
      </c>
      <c r="E2" s="19" t="s">
        <v>85</v>
      </c>
      <c r="F2" s="17">
        <v>261832350</v>
      </c>
      <c r="G2" s="37" t="s">
        <v>123</v>
      </c>
    </row>
    <row r="3" spans="1:7" ht="63" x14ac:dyDescent="0.25">
      <c r="A3" s="49" t="s">
        <v>155</v>
      </c>
      <c r="B3" s="18" t="s">
        <v>119</v>
      </c>
      <c r="C3" s="14" t="s">
        <v>125</v>
      </c>
      <c r="D3" s="22">
        <v>25</v>
      </c>
      <c r="E3" s="19" t="s">
        <v>85</v>
      </c>
      <c r="F3" s="21">
        <v>912471300</v>
      </c>
      <c r="G3" s="37" t="s">
        <v>120</v>
      </c>
    </row>
    <row r="4" spans="1:7" ht="47.25" x14ac:dyDescent="0.25">
      <c r="A4" s="49" t="s">
        <v>156</v>
      </c>
      <c r="B4" s="15" t="s">
        <v>83</v>
      </c>
      <c r="C4" s="14" t="s">
        <v>129</v>
      </c>
      <c r="D4" s="22">
        <v>25</v>
      </c>
      <c r="E4" s="19" t="s">
        <v>85</v>
      </c>
      <c r="F4" s="21">
        <v>959205308</v>
      </c>
      <c r="G4" s="37" t="s">
        <v>130</v>
      </c>
    </row>
    <row r="5" spans="1:7" ht="78.75" x14ac:dyDescent="0.25">
      <c r="A5" s="49" t="s">
        <v>157</v>
      </c>
      <c r="B5" s="15" t="s">
        <v>134</v>
      </c>
      <c r="C5" s="14" t="s">
        <v>135</v>
      </c>
      <c r="D5" s="22">
        <v>25</v>
      </c>
      <c r="E5" s="19" t="s">
        <v>85</v>
      </c>
      <c r="F5" s="21">
        <v>6434440000</v>
      </c>
      <c r="G5" s="42" t="s">
        <v>136</v>
      </c>
    </row>
    <row r="6" spans="1:7" ht="47.25" x14ac:dyDescent="0.25">
      <c r="A6" s="49" t="s">
        <v>158</v>
      </c>
      <c r="B6" s="15" t="s">
        <v>84</v>
      </c>
      <c r="C6" s="14" t="s">
        <v>137</v>
      </c>
      <c r="D6" s="22">
        <v>25</v>
      </c>
      <c r="E6" s="19" t="s">
        <v>85</v>
      </c>
      <c r="F6" s="17">
        <v>243385000</v>
      </c>
      <c r="G6" s="37" t="s">
        <v>138</v>
      </c>
    </row>
    <row r="7" spans="1:7" ht="63" x14ac:dyDescent="0.25">
      <c r="A7" s="49" t="s">
        <v>159</v>
      </c>
      <c r="B7" s="15" t="s">
        <v>134</v>
      </c>
      <c r="C7" s="14" t="s">
        <v>167</v>
      </c>
      <c r="D7" s="22">
        <v>25</v>
      </c>
      <c r="E7" s="19" t="s">
        <v>85</v>
      </c>
      <c r="F7" s="21">
        <v>8978931344</v>
      </c>
      <c r="G7" s="42" t="s">
        <v>139</v>
      </c>
    </row>
    <row r="8" spans="1:7" ht="47.25" x14ac:dyDescent="0.25">
      <c r="A8" s="49" t="s">
        <v>160</v>
      </c>
      <c r="B8" s="15" t="s">
        <v>140</v>
      </c>
      <c r="C8" s="14" t="s">
        <v>141</v>
      </c>
      <c r="D8" s="22">
        <v>25</v>
      </c>
      <c r="E8" s="19" t="s">
        <v>85</v>
      </c>
      <c r="F8" s="17">
        <v>470795701</v>
      </c>
      <c r="G8" s="37" t="s">
        <v>142</v>
      </c>
    </row>
    <row r="9" spans="1:7" ht="63" x14ac:dyDescent="0.25">
      <c r="A9" s="49" t="s">
        <v>161</v>
      </c>
      <c r="B9" s="39" t="s">
        <v>143</v>
      </c>
      <c r="C9" s="14" t="s">
        <v>144</v>
      </c>
      <c r="D9" s="22">
        <v>25</v>
      </c>
      <c r="E9" s="19" t="s">
        <v>85</v>
      </c>
      <c r="F9" s="40">
        <v>597046369</v>
      </c>
      <c r="G9" s="37" t="s">
        <v>145</v>
      </c>
    </row>
    <row r="10" spans="1:7" ht="47.25" x14ac:dyDescent="0.25">
      <c r="A10" s="49" t="s">
        <v>162</v>
      </c>
      <c r="B10" s="15" t="s">
        <v>82</v>
      </c>
      <c r="C10" s="14" t="s">
        <v>146</v>
      </c>
      <c r="D10" s="22">
        <v>25</v>
      </c>
      <c r="E10" s="19" t="s">
        <v>85</v>
      </c>
      <c r="F10" s="17">
        <v>175952760</v>
      </c>
      <c r="G10" s="37" t="s">
        <v>147</v>
      </c>
    </row>
    <row r="11" spans="1:7" ht="31.5" x14ac:dyDescent="0.25">
      <c r="A11" s="49" t="s">
        <v>163</v>
      </c>
      <c r="B11" s="15" t="s">
        <v>93</v>
      </c>
      <c r="C11" s="14" t="s">
        <v>150</v>
      </c>
      <c r="D11" s="22">
        <v>25</v>
      </c>
      <c r="E11" s="19" t="s">
        <v>85</v>
      </c>
      <c r="F11" s="17">
        <v>38822250</v>
      </c>
      <c r="G11" s="37" t="s">
        <v>151</v>
      </c>
    </row>
    <row r="12" spans="1:7" ht="31.5" x14ac:dyDescent="0.25">
      <c r="A12" s="49" t="s">
        <v>164</v>
      </c>
      <c r="B12" s="15" t="s">
        <v>131</v>
      </c>
      <c r="C12" s="14" t="s">
        <v>149</v>
      </c>
      <c r="D12" s="22">
        <v>25</v>
      </c>
      <c r="E12" s="19" t="s">
        <v>85</v>
      </c>
      <c r="F12" s="21">
        <v>128430549</v>
      </c>
      <c r="G12" s="37" t="s">
        <v>132</v>
      </c>
    </row>
    <row r="13" spans="1:7" ht="31.5" x14ac:dyDescent="0.25">
      <c r="A13" s="49" t="s">
        <v>165</v>
      </c>
      <c r="B13" s="15" t="s">
        <v>128</v>
      </c>
      <c r="C13" s="14" t="s">
        <v>152</v>
      </c>
      <c r="D13" s="22">
        <v>25</v>
      </c>
      <c r="E13" s="19" t="s">
        <v>85</v>
      </c>
      <c r="F13" s="21">
        <v>136470611</v>
      </c>
      <c r="G13" s="37" t="s">
        <v>133</v>
      </c>
    </row>
    <row r="14" spans="1:7" ht="31.5" x14ac:dyDescent="0.25">
      <c r="A14" s="49" t="s">
        <v>166</v>
      </c>
      <c r="B14" s="15" t="s">
        <v>126</v>
      </c>
      <c r="C14" s="14" t="s">
        <v>153</v>
      </c>
      <c r="D14" s="22">
        <v>25</v>
      </c>
      <c r="E14" s="19" t="s">
        <v>85</v>
      </c>
      <c r="F14" s="21">
        <v>132512360</v>
      </c>
      <c r="G14" s="37" t="s">
        <v>127</v>
      </c>
    </row>
    <row r="15" spans="1:7" ht="18.75" x14ac:dyDescent="0.3">
      <c r="F15" s="50">
        <f>SUM(F2:F14)</f>
        <v>19470295902</v>
      </c>
    </row>
    <row r="18" spans="1:7" ht="31.5" x14ac:dyDescent="0.25">
      <c r="A18" s="49" t="s">
        <v>154</v>
      </c>
      <c r="B18" s="15" t="s">
        <v>131</v>
      </c>
      <c r="C18" s="14" t="s">
        <v>149</v>
      </c>
      <c r="D18" s="22">
        <v>25</v>
      </c>
      <c r="E18" s="19" t="s">
        <v>85</v>
      </c>
      <c r="F18" s="21">
        <v>128430549</v>
      </c>
      <c r="G18" s="37" t="s">
        <v>132</v>
      </c>
    </row>
    <row r="19" spans="1:7" ht="31.5" x14ac:dyDescent="0.25">
      <c r="A19" s="49" t="s">
        <v>155</v>
      </c>
      <c r="B19" s="15" t="s">
        <v>128</v>
      </c>
      <c r="C19" s="14" t="s">
        <v>152</v>
      </c>
      <c r="D19" s="22">
        <v>25</v>
      </c>
      <c r="E19" s="19" t="s">
        <v>85</v>
      </c>
      <c r="F19" s="21">
        <v>136470611</v>
      </c>
      <c r="G19" s="37" t="s">
        <v>133</v>
      </c>
    </row>
    <row r="20" spans="1:7" ht="31.5" x14ac:dyDescent="0.25">
      <c r="A20" s="49" t="s">
        <v>156</v>
      </c>
      <c r="B20" s="15" t="s">
        <v>126</v>
      </c>
      <c r="C20" s="14" t="s">
        <v>153</v>
      </c>
      <c r="D20" s="22">
        <v>25</v>
      </c>
      <c r="E20" s="19" t="s">
        <v>85</v>
      </c>
      <c r="F20" s="21">
        <v>132512360</v>
      </c>
      <c r="G20" s="37" t="s">
        <v>127</v>
      </c>
    </row>
    <row r="21" spans="1:7" ht="31.5" x14ac:dyDescent="0.25">
      <c r="A21" s="49" t="s">
        <v>157</v>
      </c>
      <c r="B21" s="15" t="s">
        <v>171</v>
      </c>
      <c r="C21" s="14" t="s">
        <v>172</v>
      </c>
      <c r="D21" s="22">
        <v>26</v>
      </c>
      <c r="E21" s="19" t="s">
        <v>85</v>
      </c>
      <c r="F21" s="21">
        <v>138339043</v>
      </c>
      <c r="G21" s="37" t="s">
        <v>173</v>
      </c>
    </row>
    <row r="22" spans="1:7" ht="31.5" x14ac:dyDescent="0.25">
      <c r="A22" s="49" t="s">
        <v>158</v>
      </c>
      <c r="B22" s="15" t="s">
        <v>168</v>
      </c>
      <c r="C22" s="14" t="s">
        <v>174</v>
      </c>
      <c r="D22" s="22">
        <v>26</v>
      </c>
      <c r="E22" s="19" t="s">
        <v>85</v>
      </c>
      <c r="F22" s="21">
        <v>4884000</v>
      </c>
      <c r="G22" s="37" t="s">
        <v>170</v>
      </c>
    </row>
    <row r="23" spans="1:7" ht="31.5" x14ac:dyDescent="0.25">
      <c r="A23" s="49" t="s">
        <v>159</v>
      </c>
      <c r="B23" s="15" t="s">
        <v>168</v>
      </c>
      <c r="C23" s="14" t="s">
        <v>175</v>
      </c>
      <c r="D23" s="22">
        <v>27</v>
      </c>
      <c r="E23" s="19" t="s">
        <v>85</v>
      </c>
      <c r="F23" s="21">
        <v>3418800</v>
      </c>
      <c r="G23" s="37" t="s">
        <v>169</v>
      </c>
    </row>
    <row r="24" spans="1:7" ht="47.25" x14ac:dyDescent="0.25">
      <c r="A24" s="49" t="s">
        <v>160</v>
      </c>
      <c r="B24" s="15" t="s">
        <v>84</v>
      </c>
      <c r="C24" s="14" t="s">
        <v>176</v>
      </c>
      <c r="D24" s="22">
        <v>27</v>
      </c>
      <c r="E24" s="19" t="s">
        <v>85</v>
      </c>
      <c r="F24" s="17">
        <v>243385000</v>
      </c>
      <c r="G24" s="37" t="s">
        <v>138</v>
      </c>
    </row>
    <row r="25" spans="1:7" ht="47.25" x14ac:dyDescent="0.25">
      <c r="A25" s="49" t="s">
        <v>161</v>
      </c>
      <c r="B25" s="15" t="s">
        <v>140</v>
      </c>
      <c r="C25" s="14" t="s">
        <v>177</v>
      </c>
      <c r="D25" s="22">
        <v>27</v>
      </c>
      <c r="E25" s="19" t="s">
        <v>85</v>
      </c>
      <c r="F25" s="17">
        <v>470795701</v>
      </c>
      <c r="G25" s="37" t="s">
        <v>142</v>
      </c>
    </row>
    <row r="26" spans="1:7" ht="47.25" x14ac:dyDescent="0.25">
      <c r="A26" s="49" t="s">
        <v>162</v>
      </c>
      <c r="B26" s="15" t="s">
        <v>108</v>
      </c>
      <c r="C26" s="14" t="s">
        <v>178</v>
      </c>
      <c r="D26" s="22">
        <v>27</v>
      </c>
      <c r="E26" s="19" t="s">
        <v>85</v>
      </c>
      <c r="F26" s="17">
        <v>243935645</v>
      </c>
      <c r="G26" s="37" t="s">
        <v>148</v>
      </c>
    </row>
    <row r="27" spans="1:7" ht="31.5" x14ac:dyDescent="0.25">
      <c r="A27" s="49" t="s">
        <v>163</v>
      </c>
      <c r="B27" s="15" t="s">
        <v>179</v>
      </c>
      <c r="C27" s="14" t="s">
        <v>180</v>
      </c>
      <c r="D27" s="22">
        <v>27</v>
      </c>
      <c r="E27" s="19" t="s">
        <v>85</v>
      </c>
      <c r="F27" s="21">
        <v>130074115</v>
      </c>
      <c r="G27" s="37" t="s">
        <v>181</v>
      </c>
    </row>
    <row r="28" spans="1:7" ht="47.25" x14ac:dyDescent="0.25">
      <c r="A28" s="49" t="s">
        <v>164</v>
      </c>
      <c r="B28" s="15" t="s">
        <v>186</v>
      </c>
      <c r="C28" s="14" t="s">
        <v>187</v>
      </c>
      <c r="D28" s="22">
        <v>27</v>
      </c>
      <c r="E28" s="19" t="s">
        <v>85</v>
      </c>
      <c r="F28" s="21">
        <v>124237589</v>
      </c>
      <c r="G28" s="37" t="s">
        <v>188</v>
      </c>
    </row>
    <row r="29" spans="1:7" ht="63" x14ac:dyDescent="0.25">
      <c r="A29" s="49" t="s">
        <v>165</v>
      </c>
      <c r="B29" s="39" t="s">
        <v>79</v>
      </c>
      <c r="C29" s="14" t="s">
        <v>189</v>
      </c>
      <c r="D29" s="22">
        <v>27</v>
      </c>
      <c r="E29" s="19" t="s">
        <v>85</v>
      </c>
      <c r="F29" s="40">
        <v>285957080</v>
      </c>
      <c r="G29" s="37" t="s">
        <v>182</v>
      </c>
    </row>
    <row r="30" spans="1:7" ht="63" x14ac:dyDescent="0.25">
      <c r="A30" s="49" t="s">
        <v>166</v>
      </c>
      <c r="B30" s="15" t="s">
        <v>184</v>
      </c>
      <c r="C30" s="14" t="s">
        <v>190</v>
      </c>
      <c r="D30" s="22">
        <v>27</v>
      </c>
      <c r="E30" s="19" t="s">
        <v>85</v>
      </c>
      <c r="F30" s="21">
        <v>92267196</v>
      </c>
      <c r="G30" s="37" t="s">
        <v>185</v>
      </c>
    </row>
    <row r="31" spans="1:7" ht="47.25" x14ac:dyDescent="0.25">
      <c r="A31" s="49" t="s">
        <v>205</v>
      </c>
      <c r="B31" s="15" t="s">
        <v>103</v>
      </c>
      <c r="C31" s="14" t="s">
        <v>193</v>
      </c>
      <c r="D31" s="22">
        <v>27</v>
      </c>
      <c r="E31" s="19" t="s">
        <v>85</v>
      </c>
      <c r="F31" s="21">
        <v>1885875628</v>
      </c>
      <c r="G31" s="37" t="s">
        <v>183</v>
      </c>
    </row>
    <row r="32" spans="1:7" ht="63" x14ac:dyDescent="0.25">
      <c r="A32" s="49" t="s">
        <v>206</v>
      </c>
      <c r="B32" s="15" t="s">
        <v>184</v>
      </c>
      <c r="C32" s="14" t="s">
        <v>197</v>
      </c>
      <c r="D32" s="22">
        <v>27</v>
      </c>
      <c r="E32" s="19" t="s">
        <v>85</v>
      </c>
      <c r="F32" s="21">
        <v>8786057000</v>
      </c>
      <c r="G32" s="37" t="s">
        <v>198</v>
      </c>
    </row>
    <row r="33" spans="1:7" ht="31.5" x14ac:dyDescent="0.25">
      <c r="A33" s="49" t="s">
        <v>207</v>
      </c>
      <c r="B33" s="15" t="s">
        <v>194</v>
      </c>
      <c r="C33" s="14" t="s">
        <v>199</v>
      </c>
      <c r="D33" s="22">
        <v>27</v>
      </c>
      <c r="E33" s="19" t="s">
        <v>85</v>
      </c>
      <c r="F33" s="21">
        <v>133455422</v>
      </c>
      <c r="G33" s="37" t="s">
        <v>195</v>
      </c>
    </row>
    <row r="34" spans="1:7" ht="63" x14ac:dyDescent="0.25">
      <c r="A34" s="49" t="s">
        <v>208</v>
      </c>
      <c r="B34" s="15" t="s">
        <v>191</v>
      </c>
      <c r="C34" s="14" t="s">
        <v>200</v>
      </c>
      <c r="D34" s="22">
        <v>27</v>
      </c>
      <c r="E34" s="19" t="s">
        <v>85</v>
      </c>
      <c r="F34" s="17">
        <v>4078989206</v>
      </c>
      <c r="G34" s="37" t="s">
        <v>192</v>
      </c>
    </row>
    <row r="35" spans="1:7" ht="63" x14ac:dyDescent="0.25">
      <c r="A35" s="49" t="s">
        <v>209</v>
      </c>
      <c r="B35" s="15" t="s">
        <v>101</v>
      </c>
      <c r="C35" s="14" t="s">
        <v>201</v>
      </c>
      <c r="D35" s="22">
        <v>27</v>
      </c>
      <c r="E35" s="19" t="s">
        <v>85</v>
      </c>
      <c r="F35" s="17">
        <v>1995467679</v>
      </c>
      <c r="G35" s="37" t="s">
        <v>196</v>
      </c>
    </row>
    <row r="36" spans="1:7" ht="63" x14ac:dyDescent="0.25">
      <c r="A36" s="49" t="s">
        <v>210</v>
      </c>
      <c r="B36" s="15" t="s">
        <v>202</v>
      </c>
      <c r="C36" s="14" t="s">
        <v>203</v>
      </c>
      <c r="D36" s="22">
        <v>27</v>
      </c>
      <c r="E36" s="19" t="s">
        <v>85</v>
      </c>
      <c r="F36" s="17">
        <v>3356351661</v>
      </c>
      <c r="G36" s="37" t="s">
        <v>204</v>
      </c>
    </row>
    <row r="41" spans="1:7" ht="31.5" x14ac:dyDescent="0.25">
      <c r="A41" s="49" t="s">
        <v>154</v>
      </c>
      <c r="B41" s="15" t="s">
        <v>131</v>
      </c>
      <c r="C41" s="14" t="s">
        <v>149</v>
      </c>
      <c r="D41" s="22">
        <v>25</v>
      </c>
      <c r="E41" s="19" t="s">
        <v>85</v>
      </c>
      <c r="F41" s="21">
        <v>128430549</v>
      </c>
      <c r="G41" s="37" t="s">
        <v>132</v>
      </c>
    </row>
    <row r="42" spans="1:7" ht="31.5" x14ac:dyDescent="0.25">
      <c r="A42" s="49" t="s">
        <v>155</v>
      </c>
      <c r="B42" s="15" t="s">
        <v>128</v>
      </c>
      <c r="C42" s="14" t="s">
        <v>152</v>
      </c>
      <c r="D42" s="22">
        <v>25</v>
      </c>
      <c r="E42" s="19" t="s">
        <v>85</v>
      </c>
      <c r="F42" s="21">
        <v>136470611</v>
      </c>
      <c r="G42" s="37" t="s">
        <v>133</v>
      </c>
    </row>
    <row r="43" spans="1:7" ht="31.5" x14ac:dyDescent="0.25">
      <c r="A43" s="49" t="s">
        <v>156</v>
      </c>
      <c r="B43" s="15" t="s">
        <v>126</v>
      </c>
      <c r="C43" s="14" t="s">
        <v>153</v>
      </c>
      <c r="D43" s="22">
        <v>25</v>
      </c>
      <c r="E43" s="19" t="s">
        <v>85</v>
      </c>
      <c r="F43" s="21">
        <v>132512360</v>
      </c>
      <c r="G43" s="37" t="s">
        <v>127</v>
      </c>
    </row>
    <row r="44" spans="1:7" ht="31.5" x14ac:dyDescent="0.25">
      <c r="A44" s="49" t="s">
        <v>157</v>
      </c>
      <c r="B44" s="15" t="s">
        <v>171</v>
      </c>
      <c r="C44" s="14" t="s">
        <v>172</v>
      </c>
      <c r="D44" s="22">
        <v>26</v>
      </c>
      <c r="E44" s="19" t="s">
        <v>85</v>
      </c>
      <c r="F44" s="21">
        <v>138339043</v>
      </c>
      <c r="G44" s="37" t="s">
        <v>173</v>
      </c>
    </row>
    <row r="45" spans="1:7" ht="31.5" x14ac:dyDescent="0.25">
      <c r="A45" s="49" t="s">
        <v>158</v>
      </c>
      <c r="B45" s="15" t="s">
        <v>179</v>
      </c>
      <c r="C45" s="14" t="s">
        <v>180</v>
      </c>
      <c r="D45" s="22">
        <v>27</v>
      </c>
      <c r="E45" s="19" t="s">
        <v>85</v>
      </c>
      <c r="F45" s="21">
        <v>130074115</v>
      </c>
      <c r="G45" s="37" t="s">
        <v>181</v>
      </c>
    </row>
    <row r="46" spans="1:7" ht="63" x14ac:dyDescent="0.25">
      <c r="A46" s="49" t="s">
        <v>159</v>
      </c>
      <c r="B46" s="15" t="s">
        <v>184</v>
      </c>
      <c r="C46" s="14" t="s">
        <v>190</v>
      </c>
      <c r="D46" s="22">
        <v>27</v>
      </c>
      <c r="E46" s="19" t="s">
        <v>85</v>
      </c>
      <c r="F46" s="21">
        <v>92267196</v>
      </c>
      <c r="G46" s="37" t="s">
        <v>185</v>
      </c>
    </row>
    <row r="47" spans="1:7" ht="47.25" x14ac:dyDescent="0.25">
      <c r="A47" s="49" t="s">
        <v>160</v>
      </c>
      <c r="B47" s="15" t="s">
        <v>103</v>
      </c>
      <c r="C47" s="14" t="s">
        <v>193</v>
      </c>
      <c r="D47" s="22">
        <v>27</v>
      </c>
      <c r="E47" s="19" t="s">
        <v>85</v>
      </c>
      <c r="F47" s="21">
        <v>1885875628</v>
      </c>
      <c r="G47" s="37" t="s">
        <v>183</v>
      </c>
    </row>
    <row r="48" spans="1:7" ht="31.5" x14ac:dyDescent="0.25">
      <c r="A48" s="49" t="s">
        <v>161</v>
      </c>
      <c r="B48" s="15" t="s">
        <v>194</v>
      </c>
      <c r="C48" s="14" t="s">
        <v>199</v>
      </c>
      <c r="D48" s="22">
        <v>27</v>
      </c>
      <c r="E48" s="19" t="s">
        <v>85</v>
      </c>
      <c r="F48" s="21">
        <v>133455422</v>
      </c>
      <c r="G48" s="37" t="s">
        <v>195</v>
      </c>
    </row>
    <row r="49" spans="1:8" ht="63" x14ac:dyDescent="0.25">
      <c r="A49" s="49" t="s">
        <v>162</v>
      </c>
      <c r="B49" s="15" t="s">
        <v>191</v>
      </c>
      <c r="C49" s="14" t="s">
        <v>200</v>
      </c>
      <c r="D49" s="22">
        <v>27</v>
      </c>
      <c r="E49" s="19" t="s">
        <v>85</v>
      </c>
      <c r="F49" s="17">
        <v>4078989206</v>
      </c>
      <c r="G49" s="37" t="s">
        <v>192</v>
      </c>
    </row>
    <row r="50" spans="1:8" ht="63" x14ac:dyDescent="0.25">
      <c r="A50" s="49" t="s">
        <v>163</v>
      </c>
      <c r="B50" s="15" t="s">
        <v>202</v>
      </c>
      <c r="C50" s="14" t="s">
        <v>203</v>
      </c>
      <c r="D50" s="22">
        <v>28</v>
      </c>
      <c r="E50" s="19" t="s">
        <v>85</v>
      </c>
      <c r="F50" s="17">
        <v>3356351661</v>
      </c>
      <c r="G50" s="37" t="s">
        <v>204</v>
      </c>
    </row>
    <row r="51" spans="1:8" ht="31.5" x14ac:dyDescent="0.25">
      <c r="A51" s="49" t="s">
        <v>164</v>
      </c>
      <c r="B51" s="15" t="s">
        <v>82</v>
      </c>
      <c r="C51" s="14" t="s">
        <v>211</v>
      </c>
      <c r="D51" s="22">
        <v>28</v>
      </c>
      <c r="E51" s="19" t="s">
        <v>85</v>
      </c>
      <c r="F51" s="17">
        <v>407340602</v>
      </c>
      <c r="G51" s="37" t="s">
        <v>212</v>
      </c>
    </row>
    <row r="52" spans="1:8" ht="47.25" x14ac:dyDescent="0.25">
      <c r="A52" s="49" t="s">
        <v>165</v>
      </c>
      <c r="B52" s="15" t="s">
        <v>108</v>
      </c>
      <c r="C52" s="14" t="s">
        <v>213</v>
      </c>
      <c r="D52" s="22">
        <v>28</v>
      </c>
      <c r="E52" s="19" t="s">
        <v>85</v>
      </c>
      <c r="F52" s="17">
        <v>243935645</v>
      </c>
      <c r="G52" s="37" t="s">
        <v>148</v>
      </c>
    </row>
    <row r="53" spans="1:8" ht="63" x14ac:dyDescent="0.25">
      <c r="A53" s="49" t="s">
        <v>166</v>
      </c>
      <c r="B53" s="15" t="s">
        <v>214</v>
      </c>
      <c r="C53" s="14" t="s">
        <v>215</v>
      </c>
      <c r="D53" s="22">
        <v>28</v>
      </c>
      <c r="E53" s="19" t="s">
        <v>85</v>
      </c>
      <c r="F53" s="17">
        <v>94683000</v>
      </c>
      <c r="G53" s="37" t="s">
        <v>216</v>
      </c>
    </row>
    <row r="54" spans="1:8" ht="63" x14ac:dyDescent="0.25">
      <c r="A54" s="49" t="s">
        <v>205</v>
      </c>
      <c r="B54" s="18" t="s">
        <v>58</v>
      </c>
      <c r="C54" s="14" t="s">
        <v>220</v>
      </c>
      <c r="D54" s="22">
        <v>1</v>
      </c>
      <c r="E54" s="19" t="s">
        <v>80</v>
      </c>
      <c r="F54" s="21">
        <v>22450524</v>
      </c>
      <c r="G54" s="30" t="s">
        <v>218</v>
      </c>
    </row>
    <row r="55" spans="1:8" ht="63" x14ac:dyDescent="0.25">
      <c r="A55" s="49" t="s">
        <v>206</v>
      </c>
      <c r="B55" s="18" t="s">
        <v>58</v>
      </c>
      <c r="C55" s="14" t="s">
        <v>221</v>
      </c>
      <c r="D55" s="22">
        <v>1</v>
      </c>
      <c r="E55" s="19" t="s">
        <v>80</v>
      </c>
      <c r="F55" s="21">
        <v>2968282701</v>
      </c>
      <c r="G55" s="30" t="s">
        <v>222</v>
      </c>
    </row>
    <row r="56" spans="1:8" ht="47.25" x14ac:dyDescent="0.25">
      <c r="A56" s="49" t="s">
        <v>207</v>
      </c>
      <c r="B56" s="23" t="s">
        <v>58</v>
      </c>
      <c r="C56" s="14" t="s">
        <v>223</v>
      </c>
      <c r="D56" s="22">
        <v>1</v>
      </c>
      <c r="E56" s="19" t="s">
        <v>80</v>
      </c>
      <c r="F56" s="25">
        <v>301423033</v>
      </c>
      <c r="G56" s="26" t="s">
        <v>217</v>
      </c>
    </row>
    <row r="57" spans="1:8" ht="63" x14ac:dyDescent="0.25">
      <c r="A57" s="49" t="s">
        <v>208</v>
      </c>
      <c r="B57" s="18" t="s">
        <v>58</v>
      </c>
      <c r="C57" s="14" t="s">
        <v>225</v>
      </c>
      <c r="D57" s="22">
        <v>1</v>
      </c>
      <c r="E57" s="19" t="s">
        <v>80</v>
      </c>
      <c r="F57" s="21">
        <v>271361115</v>
      </c>
      <c r="G57" s="30" t="s">
        <v>219</v>
      </c>
    </row>
    <row r="58" spans="1:8" ht="63" x14ac:dyDescent="0.25">
      <c r="A58" s="49" t="s">
        <v>209</v>
      </c>
      <c r="B58" s="18" t="s">
        <v>58</v>
      </c>
      <c r="C58" s="14" t="s">
        <v>226</v>
      </c>
      <c r="D58" s="22">
        <v>1</v>
      </c>
      <c r="E58" s="19" t="s">
        <v>80</v>
      </c>
      <c r="F58" s="21">
        <v>4184843992</v>
      </c>
      <c r="G58" s="30" t="s">
        <v>224</v>
      </c>
    </row>
    <row r="59" spans="1:8" x14ac:dyDescent="0.25">
      <c r="F59" s="51">
        <f>SUM(F41:F58)</f>
        <v>18707086403</v>
      </c>
    </row>
    <row r="63" spans="1:8" ht="18.75" x14ac:dyDescent="0.3">
      <c r="A63" s="52"/>
      <c r="B63" s="52"/>
      <c r="C63" s="52"/>
      <c r="D63" s="52"/>
      <c r="E63" s="52"/>
      <c r="F63" s="52"/>
      <c r="G63" s="52"/>
      <c r="H63" s="52"/>
    </row>
    <row r="64" spans="1:8" ht="18.75" x14ac:dyDescent="0.3">
      <c r="A64" s="52"/>
      <c r="B64" s="52"/>
      <c r="C64" s="52"/>
      <c r="D64" s="52"/>
      <c r="E64" s="52"/>
      <c r="F64" s="52"/>
      <c r="G64" s="52"/>
      <c r="H64" s="52"/>
    </row>
    <row r="65" spans="1:8" ht="32.25" customHeight="1" x14ac:dyDescent="0.3">
      <c r="A65" s="53" t="s">
        <v>158</v>
      </c>
      <c r="B65" s="54" t="s">
        <v>228</v>
      </c>
      <c r="C65" s="61" t="s">
        <v>229</v>
      </c>
      <c r="D65" s="56" t="s">
        <v>236</v>
      </c>
      <c r="E65" s="57">
        <v>3</v>
      </c>
      <c r="F65" s="58" t="s">
        <v>80</v>
      </c>
      <c r="G65" s="59">
        <v>6386824924</v>
      </c>
      <c r="H65" s="60" t="s">
        <v>230</v>
      </c>
    </row>
    <row r="66" spans="1:8" ht="37.5" x14ac:dyDescent="0.3">
      <c r="A66" s="53" t="s">
        <v>160</v>
      </c>
      <c r="B66" s="54" t="s">
        <v>231</v>
      </c>
      <c r="C66" s="55" t="s">
        <v>232</v>
      </c>
      <c r="D66" s="56" t="s">
        <v>227</v>
      </c>
      <c r="E66" s="57">
        <v>3</v>
      </c>
      <c r="F66" s="58" t="s">
        <v>80</v>
      </c>
      <c r="G66" s="59">
        <v>11976900</v>
      </c>
      <c r="H66" s="60" t="s">
        <v>233</v>
      </c>
    </row>
    <row r="67" spans="1:8" ht="37.5" x14ac:dyDescent="0.3">
      <c r="A67" s="53" t="s">
        <v>163</v>
      </c>
      <c r="B67" s="54" t="s">
        <v>231</v>
      </c>
      <c r="C67" s="55" t="s">
        <v>234</v>
      </c>
      <c r="D67" s="56" t="s">
        <v>237</v>
      </c>
      <c r="E67" s="57">
        <v>4</v>
      </c>
      <c r="F67" s="58" t="s">
        <v>80</v>
      </c>
      <c r="G67" s="59">
        <v>74159100</v>
      </c>
      <c r="H67" s="60" t="s">
        <v>235</v>
      </c>
    </row>
    <row r="68" spans="1:8" ht="93.75" x14ac:dyDescent="0.3">
      <c r="A68" s="53" t="s">
        <v>166</v>
      </c>
      <c r="B68" s="62" t="s">
        <v>58</v>
      </c>
      <c r="C68" s="55"/>
      <c r="D68" s="56" t="s">
        <v>239</v>
      </c>
      <c r="E68" s="57">
        <v>4</v>
      </c>
      <c r="F68" s="58" t="s">
        <v>80</v>
      </c>
      <c r="G68" s="59">
        <v>6966556</v>
      </c>
      <c r="H68" s="63" t="s">
        <v>238</v>
      </c>
    </row>
    <row r="69" spans="1:8" ht="56.25" x14ac:dyDescent="0.3">
      <c r="A69" s="53" t="s">
        <v>246</v>
      </c>
      <c r="B69" s="54" t="s">
        <v>240</v>
      </c>
      <c r="C69" s="55" t="s">
        <v>241</v>
      </c>
      <c r="D69" s="56" t="s">
        <v>242</v>
      </c>
      <c r="E69" s="57">
        <v>4</v>
      </c>
      <c r="F69" s="58" t="s">
        <v>80</v>
      </c>
      <c r="G69" s="59">
        <v>804600000</v>
      </c>
      <c r="H69" s="64" t="s">
        <v>243</v>
      </c>
    </row>
    <row r="70" spans="1:8" ht="56.25" x14ac:dyDescent="0.3">
      <c r="A70" s="53" t="s">
        <v>247</v>
      </c>
      <c r="B70" s="54" t="s">
        <v>240</v>
      </c>
      <c r="C70" s="55" t="s">
        <v>241</v>
      </c>
      <c r="D70" s="56" t="s">
        <v>244</v>
      </c>
      <c r="E70" s="57">
        <v>4</v>
      </c>
      <c r="F70" s="58" t="s">
        <v>80</v>
      </c>
      <c r="G70" s="59">
        <v>811200000</v>
      </c>
      <c r="H70" s="64" t="s">
        <v>243</v>
      </c>
    </row>
    <row r="71" spans="1:8" ht="56.25" x14ac:dyDescent="0.3">
      <c r="A71" s="53" t="s">
        <v>248</v>
      </c>
      <c r="B71" s="54" t="s">
        <v>240</v>
      </c>
      <c r="C71" s="55" t="s">
        <v>241</v>
      </c>
      <c r="D71" s="56" t="s">
        <v>245</v>
      </c>
      <c r="E71" s="57">
        <v>4</v>
      </c>
      <c r="F71" s="58" t="s">
        <v>80</v>
      </c>
      <c r="G71" s="59">
        <v>2000700000</v>
      </c>
      <c r="H71" s="64" t="s">
        <v>243</v>
      </c>
    </row>
    <row r="72" spans="1:8" ht="31.5" x14ac:dyDescent="0.3">
      <c r="A72" s="53" t="s">
        <v>287</v>
      </c>
      <c r="B72" s="15" t="s">
        <v>95</v>
      </c>
      <c r="C72" s="41" t="s">
        <v>256</v>
      </c>
      <c r="D72" s="14" t="s">
        <v>280</v>
      </c>
      <c r="E72" s="22">
        <v>5</v>
      </c>
      <c r="F72" s="19" t="s">
        <v>80</v>
      </c>
      <c r="G72" s="17">
        <v>624129587</v>
      </c>
      <c r="H72" s="37" t="s">
        <v>257</v>
      </c>
    </row>
    <row r="73" spans="1:8" ht="31.5" x14ac:dyDescent="0.3">
      <c r="A73" s="53" t="s">
        <v>288</v>
      </c>
      <c r="B73" s="18" t="s">
        <v>86</v>
      </c>
      <c r="C73" s="19" t="s">
        <v>264</v>
      </c>
      <c r="D73" s="14" t="s">
        <v>282</v>
      </c>
      <c r="E73" s="22">
        <v>5</v>
      </c>
      <c r="F73" s="19" t="s">
        <v>80</v>
      </c>
      <c r="G73" s="21">
        <v>49201860</v>
      </c>
      <c r="H73" s="37" t="s">
        <v>265</v>
      </c>
    </row>
    <row r="74" spans="1:8" ht="31.5" x14ac:dyDescent="0.3">
      <c r="A74" s="53" t="s">
        <v>289</v>
      </c>
      <c r="B74" s="15" t="s">
        <v>87</v>
      </c>
      <c r="C74" s="19" t="s">
        <v>278</v>
      </c>
      <c r="D74" s="14" t="s">
        <v>281</v>
      </c>
      <c r="E74" s="22">
        <v>5</v>
      </c>
      <c r="F74" s="19" t="s">
        <v>80</v>
      </c>
      <c r="G74" s="17">
        <v>92619399</v>
      </c>
      <c r="H74" s="37" t="s">
        <v>279</v>
      </c>
    </row>
    <row r="75" spans="1:8" ht="31.5" x14ac:dyDescent="0.3">
      <c r="A75" s="53" t="s">
        <v>290</v>
      </c>
      <c r="B75" s="15" t="s">
        <v>272</v>
      </c>
      <c r="C75" s="12" t="s">
        <v>273</v>
      </c>
      <c r="D75" s="14" t="s">
        <v>283</v>
      </c>
      <c r="E75" s="22">
        <v>5</v>
      </c>
      <c r="F75" s="19" t="s">
        <v>80</v>
      </c>
      <c r="G75" s="17">
        <v>91075500</v>
      </c>
      <c r="H75" s="37" t="s">
        <v>274</v>
      </c>
    </row>
    <row r="76" spans="1:8" ht="31.5" x14ac:dyDescent="0.3">
      <c r="A76" s="53" t="s">
        <v>291</v>
      </c>
      <c r="B76" s="15" t="s">
        <v>83</v>
      </c>
      <c r="C76" s="46" t="s">
        <v>254</v>
      </c>
      <c r="D76" s="14" t="s">
        <v>284</v>
      </c>
      <c r="E76" s="22">
        <v>5</v>
      </c>
      <c r="F76" s="19" t="s">
        <v>80</v>
      </c>
      <c r="G76" s="21">
        <v>301006143</v>
      </c>
      <c r="H76" s="37" t="s">
        <v>255</v>
      </c>
    </row>
    <row r="77" spans="1:8" ht="31.5" x14ac:dyDescent="0.3">
      <c r="A77" s="53" t="s">
        <v>292</v>
      </c>
      <c r="B77" s="15" t="s">
        <v>249</v>
      </c>
      <c r="C77" s="46" t="s">
        <v>252</v>
      </c>
      <c r="D77" s="14" t="s">
        <v>285</v>
      </c>
      <c r="E77" s="22">
        <v>5</v>
      </c>
      <c r="F77" s="19" t="s">
        <v>80</v>
      </c>
      <c r="G77" s="21">
        <v>204507917</v>
      </c>
      <c r="H77" s="37" t="s">
        <v>253</v>
      </c>
    </row>
    <row r="78" spans="1:8" ht="47.25" x14ac:dyDescent="0.3">
      <c r="A78" s="53" t="s">
        <v>293</v>
      </c>
      <c r="B78" s="15" t="s">
        <v>275</v>
      </c>
      <c r="C78" s="12" t="s">
        <v>276</v>
      </c>
      <c r="D78" s="14" t="s">
        <v>286</v>
      </c>
      <c r="E78" s="22">
        <v>5</v>
      </c>
      <c r="F78" s="19" t="s">
        <v>80</v>
      </c>
      <c r="G78" s="21">
        <v>42513000</v>
      </c>
      <c r="H78" s="37" t="s">
        <v>277</v>
      </c>
    </row>
    <row r="79" spans="1:8" x14ac:dyDescent="0.25">
      <c r="G79" s="51">
        <f>SUM(G65:G78)</f>
        <v>11501480886</v>
      </c>
    </row>
    <row r="83" spans="2:8" ht="47.25" x14ac:dyDescent="0.25">
      <c r="B83" s="15" t="s">
        <v>294</v>
      </c>
      <c r="C83" s="12" t="s">
        <v>295</v>
      </c>
      <c r="D83" s="14" t="s">
        <v>297</v>
      </c>
      <c r="E83" s="22">
        <v>8</v>
      </c>
      <c r="F83" s="19" t="s">
        <v>80</v>
      </c>
      <c r="G83" s="21">
        <v>42513000</v>
      </c>
      <c r="H83" s="37" t="s">
        <v>296</v>
      </c>
    </row>
    <row r="84" spans="2:8" ht="31.5" x14ac:dyDescent="0.25">
      <c r="B84" s="15" t="s">
        <v>298</v>
      </c>
      <c r="C84" s="41" t="s">
        <v>299</v>
      </c>
      <c r="D84" s="14" t="s">
        <v>300</v>
      </c>
      <c r="E84" s="22">
        <v>8</v>
      </c>
      <c r="F84" s="19" t="s">
        <v>80</v>
      </c>
      <c r="G84" s="21">
        <v>274979610</v>
      </c>
      <c r="H84" s="37" t="s">
        <v>301</v>
      </c>
    </row>
    <row r="85" spans="2:8" ht="47.25" x14ac:dyDescent="0.25">
      <c r="B85" s="15" t="s">
        <v>302</v>
      </c>
      <c r="C85" s="46" t="s">
        <v>303</v>
      </c>
      <c r="D85" s="14" t="s">
        <v>304</v>
      </c>
      <c r="E85" s="22">
        <v>8</v>
      </c>
      <c r="F85" s="19" t="s">
        <v>80</v>
      </c>
      <c r="G85" s="21">
        <v>95460000</v>
      </c>
      <c r="H85" s="37" t="s">
        <v>305</v>
      </c>
    </row>
    <row r="86" spans="2:8" ht="31.5" x14ac:dyDescent="0.25">
      <c r="B86" s="15" t="s">
        <v>107</v>
      </c>
      <c r="C86" s="12" t="s">
        <v>306</v>
      </c>
      <c r="D86" s="14" t="s">
        <v>307</v>
      </c>
      <c r="E86" s="22">
        <v>8</v>
      </c>
      <c r="F86" s="19" t="s">
        <v>80</v>
      </c>
      <c r="G86" s="17">
        <v>104035260</v>
      </c>
      <c r="H86" s="37" t="s">
        <v>308</v>
      </c>
    </row>
    <row r="87" spans="2:8" ht="31.5" x14ac:dyDescent="0.25">
      <c r="B87" s="39" t="s">
        <v>108</v>
      </c>
      <c r="C87" s="46" t="s">
        <v>263</v>
      </c>
      <c r="D87" s="14" t="s">
        <v>309</v>
      </c>
      <c r="E87" s="22">
        <v>8</v>
      </c>
      <c r="F87" s="19" t="s">
        <v>80</v>
      </c>
      <c r="G87" s="40">
        <v>49350600</v>
      </c>
      <c r="H87" s="37" t="s">
        <v>310</v>
      </c>
    </row>
    <row r="88" spans="2:8" ht="31.5" x14ac:dyDescent="0.25">
      <c r="B88" s="23" t="s">
        <v>58</v>
      </c>
      <c r="C88" s="22"/>
      <c r="D88" s="14" t="s">
        <v>311</v>
      </c>
      <c r="E88" s="22">
        <v>8</v>
      </c>
      <c r="F88" s="19" t="s">
        <v>80</v>
      </c>
      <c r="G88" s="25">
        <v>1486293</v>
      </c>
      <c r="H88" s="26" t="s">
        <v>266</v>
      </c>
    </row>
    <row r="89" spans="2:8" ht="47.25" x14ac:dyDescent="0.25">
      <c r="B89" s="18" t="s">
        <v>58</v>
      </c>
      <c r="C89" s="19"/>
      <c r="D89" s="14" t="s">
        <v>312</v>
      </c>
      <c r="E89" s="22">
        <v>8</v>
      </c>
      <c r="F89" s="19" t="s">
        <v>80</v>
      </c>
      <c r="G89" s="21">
        <v>15300075</v>
      </c>
      <c r="H89" s="30" t="s">
        <v>269</v>
      </c>
    </row>
    <row r="90" spans="2:8" ht="47.25" x14ac:dyDescent="0.25">
      <c r="B90" s="18" t="s">
        <v>58</v>
      </c>
      <c r="C90" s="19"/>
      <c r="D90" s="14" t="s">
        <v>313</v>
      </c>
      <c r="E90" s="22">
        <v>8</v>
      </c>
      <c r="F90" s="19" t="s">
        <v>80</v>
      </c>
      <c r="G90" s="21">
        <v>116572</v>
      </c>
      <c r="H90" s="30" t="s">
        <v>267</v>
      </c>
    </row>
    <row r="91" spans="2:8" ht="47.25" x14ac:dyDescent="0.25">
      <c r="B91" s="18" t="s">
        <v>58</v>
      </c>
      <c r="C91" s="19"/>
      <c r="D91" s="14" t="s">
        <v>314</v>
      </c>
      <c r="E91" s="22">
        <v>8</v>
      </c>
      <c r="F91" s="19" t="s">
        <v>80</v>
      </c>
      <c r="G91" s="21">
        <v>1428007</v>
      </c>
      <c r="H91" s="30" t="s">
        <v>268</v>
      </c>
    </row>
    <row r="92" spans="2:8" ht="31.5" x14ac:dyDescent="0.25">
      <c r="B92" s="18" t="s">
        <v>58</v>
      </c>
      <c r="C92" s="19"/>
      <c r="D92" s="14" t="s">
        <v>315</v>
      </c>
      <c r="E92" s="22">
        <v>8</v>
      </c>
      <c r="F92" s="19" t="s">
        <v>80</v>
      </c>
      <c r="G92" s="21">
        <v>21914859</v>
      </c>
      <c r="H92" s="30" t="s">
        <v>270</v>
      </c>
    </row>
    <row r="93" spans="2:8" ht="63" x14ac:dyDescent="0.25">
      <c r="B93" s="18" t="s">
        <v>58</v>
      </c>
      <c r="C93" s="12"/>
      <c r="D93" s="14" t="s">
        <v>316</v>
      </c>
      <c r="E93" s="22">
        <v>8</v>
      </c>
      <c r="F93" s="19" t="s">
        <v>80</v>
      </c>
      <c r="G93" s="17">
        <v>6966556</v>
      </c>
      <c r="H93" s="30" t="s">
        <v>238</v>
      </c>
    </row>
    <row r="94" spans="2:8" ht="47.25" x14ac:dyDescent="0.25">
      <c r="B94" s="18" t="s">
        <v>88</v>
      </c>
      <c r="C94" s="19" t="s">
        <v>89</v>
      </c>
      <c r="D94" s="14" t="s">
        <v>317</v>
      </c>
      <c r="E94" s="22">
        <v>8</v>
      </c>
      <c r="F94" s="19" t="s">
        <v>80</v>
      </c>
      <c r="G94" s="21">
        <v>176782041</v>
      </c>
      <c r="H94" s="30" t="s">
        <v>271</v>
      </c>
    </row>
    <row r="95" spans="2:8" ht="31.5" x14ac:dyDescent="0.25">
      <c r="B95" s="15" t="s">
        <v>321</v>
      </c>
      <c r="C95" s="19" t="s">
        <v>318</v>
      </c>
      <c r="D95" s="14" t="s">
        <v>319</v>
      </c>
      <c r="E95" s="22">
        <v>8</v>
      </c>
      <c r="F95" s="19" t="s">
        <v>80</v>
      </c>
      <c r="G95" s="21">
        <v>49582590</v>
      </c>
      <c r="H95" s="37" t="s">
        <v>320</v>
      </c>
    </row>
    <row r="96" spans="2:8" ht="31.5" x14ac:dyDescent="0.25">
      <c r="B96" s="39" t="s">
        <v>258</v>
      </c>
      <c r="C96" s="46" t="s">
        <v>262</v>
      </c>
      <c r="D96" s="47" t="s">
        <v>322</v>
      </c>
      <c r="E96" s="48">
        <v>8</v>
      </c>
      <c r="F96" s="44" t="s">
        <v>80</v>
      </c>
      <c r="G96" s="65">
        <v>112077062</v>
      </c>
      <c r="H96" s="37" t="s">
        <v>261</v>
      </c>
    </row>
    <row r="97" spans="2:8" ht="31.5" x14ac:dyDescent="0.25">
      <c r="B97" s="39" t="s">
        <v>258</v>
      </c>
      <c r="C97" s="46" t="s">
        <v>259</v>
      </c>
      <c r="D97" s="47" t="s">
        <v>323</v>
      </c>
      <c r="E97" s="48">
        <v>8</v>
      </c>
      <c r="F97" s="44" t="s">
        <v>80</v>
      </c>
      <c r="G97" s="65">
        <v>99055497</v>
      </c>
      <c r="H97" s="37" t="s">
        <v>260</v>
      </c>
    </row>
    <row r="98" spans="2:8" ht="31.5" x14ac:dyDescent="0.25">
      <c r="B98" s="15" t="s">
        <v>324</v>
      </c>
      <c r="C98" s="12" t="s">
        <v>325</v>
      </c>
      <c r="D98" s="14" t="s">
        <v>326</v>
      </c>
      <c r="E98" s="22">
        <v>9</v>
      </c>
      <c r="F98" s="19" t="s">
        <v>80</v>
      </c>
      <c r="G98" s="21">
        <v>102503578</v>
      </c>
      <c r="H98" s="37" t="s">
        <v>327</v>
      </c>
    </row>
    <row r="99" spans="2:8" ht="47.25" x14ac:dyDescent="0.25">
      <c r="B99" s="39" t="s">
        <v>328</v>
      </c>
      <c r="C99" s="45" t="s">
        <v>329</v>
      </c>
      <c r="D99" s="14" t="s">
        <v>340</v>
      </c>
      <c r="E99" s="22">
        <v>9</v>
      </c>
      <c r="F99" s="19" t="s">
        <v>80</v>
      </c>
      <c r="G99" s="40">
        <v>1320727310</v>
      </c>
      <c r="H99" s="37" t="s">
        <v>330</v>
      </c>
    </row>
    <row r="100" spans="2:8" ht="31.5" x14ac:dyDescent="0.25">
      <c r="B100" s="15" t="s">
        <v>82</v>
      </c>
      <c r="C100" s="41" t="s">
        <v>337</v>
      </c>
      <c r="D100" s="14" t="s">
        <v>341</v>
      </c>
      <c r="E100" s="22">
        <v>9</v>
      </c>
      <c r="F100" s="19" t="s">
        <v>80</v>
      </c>
      <c r="G100" s="17">
        <v>200054000</v>
      </c>
      <c r="H100" s="37" t="s">
        <v>338</v>
      </c>
    </row>
    <row r="101" spans="2:8" ht="47.25" x14ac:dyDescent="0.25">
      <c r="B101" s="15" t="s">
        <v>121</v>
      </c>
      <c r="C101" s="45" t="s">
        <v>331</v>
      </c>
      <c r="D101" s="14" t="s">
        <v>342</v>
      </c>
      <c r="E101" s="22">
        <v>9</v>
      </c>
      <c r="F101" s="19" t="s">
        <v>80</v>
      </c>
      <c r="G101" s="17">
        <v>1123241785</v>
      </c>
      <c r="H101" s="37" t="s">
        <v>332</v>
      </c>
    </row>
    <row r="106" spans="2:8" ht="31.5" x14ac:dyDescent="0.25">
      <c r="B106" s="15" t="s">
        <v>82</v>
      </c>
      <c r="C106" s="12" t="s">
        <v>335</v>
      </c>
      <c r="D106" s="14" t="s">
        <v>343</v>
      </c>
      <c r="E106" s="22">
        <v>9</v>
      </c>
      <c r="F106" s="19" t="s">
        <v>80</v>
      </c>
      <c r="G106" s="17">
        <v>60028800</v>
      </c>
      <c r="H106" s="37" t="s">
        <v>336</v>
      </c>
    </row>
    <row r="107" spans="2:8" ht="31.5" x14ac:dyDescent="0.25">
      <c r="B107" s="15" t="s">
        <v>82</v>
      </c>
      <c r="C107" s="12" t="s">
        <v>333</v>
      </c>
      <c r="D107" s="14" t="s">
        <v>344</v>
      </c>
      <c r="E107" s="22">
        <v>9</v>
      </c>
      <c r="F107" s="19" t="s">
        <v>80</v>
      </c>
      <c r="G107" s="17">
        <v>92636604</v>
      </c>
      <c r="H107" s="37" t="s">
        <v>334</v>
      </c>
    </row>
    <row r="108" spans="2:8" ht="31.5" x14ac:dyDescent="0.25">
      <c r="B108" s="15" t="s">
        <v>249</v>
      </c>
      <c r="C108" s="46" t="s">
        <v>250</v>
      </c>
      <c r="D108" s="14" t="s">
        <v>345</v>
      </c>
      <c r="E108" s="22">
        <v>10</v>
      </c>
      <c r="F108" s="19" t="s">
        <v>80</v>
      </c>
      <c r="G108" s="21">
        <v>296659756</v>
      </c>
      <c r="H108" s="37" t="s">
        <v>251</v>
      </c>
    </row>
    <row r="109" spans="2:8" ht="15.75" x14ac:dyDescent="0.25">
      <c r="B109" s="15" t="s">
        <v>359</v>
      </c>
      <c r="C109" s="12" t="s">
        <v>360</v>
      </c>
      <c r="D109" s="14" t="s">
        <v>361</v>
      </c>
      <c r="E109" s="22">
        <v>10</v>
      </c>
      <c r="F109" s="19" t="s">
        <v>80</v>
      </c>
      <c r="G109" s="21">
        <v>136600859</v>
      </c>
      <c r="H109" s="37" t="s">
        <v>362</v>
      </c>
    </row>
    <row r="110" spans="2:8" ht="31.5" x14ac:dyDescent="0.25">
      <c r="B110" s="15" t="s">
        <v>272</v>
      </c>
      <c r="C110" s="12" t="s">
        <v>273</v>
      </c>
      <c r="D110" s="14" t="s">
        <v>363</v>
      </c>
      <c r="E110" s="22">
        <v>10</v>
      </c>
      <c r="F110" s="19" t="s">
        <v>80</v>
      </c>
      <c r="G110" s="17">
        <v>91075500</v>
      </c>
      <c r="H110" s="37" t="s">
        <v>274</v>
      </c>
    </row>
    <row r="111" spans="2:8" ht="31.5" x14ac:dyDescent="0.25">
      <c r="B111" s="15" t="s">
        <v>93</v>
      </c>
      <c r="C111" s="12" t="s">
        <v>364</v>
      </c>
      <c r="D111" s="14" t="s">
        <v>365</v>
      </c>
      <c r="E111" s="22">
        <v>10</v>
      </c>
      <c r="F111" s="19" t="s">
        <v>80</v>
      </c>
      <c r="G111" s="17">
        <v>44927250</v>
      </c>
      <c r="H111" s="37" t="s">
        <v>366</v>
      </c>
    </row>
    <row r="112" spans="2:8" ht="47.25" x14ac:dyDescent="0.25">
      <c r="B112" s="15" t="s">
        <v>91</v>
      </c>
      <c r="C112" s="12" t="s">
        <v>92</v>
      </c>
      <c r="D112" s="14" t="s">
        <v>367</v>
      </c>
      <c r="E112" s="22">
        <v>10</v>
      </c>
      <c r="F112" s="19" t="s">
        <v>80</v>
      </c>
      <c r="G112" s="17">
        <v>52649520</v>
      </c>
      <c r="H112" s="37" t="s">
        <v>339</v>
      </c>
    </row>
    <row r="113" spans="2:8" ht="31.5" x14ac:dyDescent="0.25">
      <c r="B113" s="15" t="s">
        <v>368</v>
      </c>
      <c r="C113" s="12" t="s">
        <v>369</v>
      </c>
      <c r="D113" s="14" t="s">
        <v>370</v>
      </c>
      <c r="E113" s="22">
        <v>10</v>
      </c>
      <c r="F113" s="19" t="s">
        <v>80</v>
      </c>
      <c r="G113" s="21">
        <v>103886387</v>
      </c>
      <c r="H113" s="37" t="s">
        <v>371</v>
      </c>
    </row>
    <row r="114" spans="2:8" ht="47.25" x14ac:dyDescent="0.25">
      <c r="B114" s="38" t="s">
        <v>351</v>
      </c>
      <c r="C114" s="66" t="s">
        <v>352</v>
      </c>
      <c r="D114" s="47" t="s">
        <v>372</v>
      </c>
      <c r="E114" s="48">
        <v>10</v>
      </c>
      <c r="F114" s="44" t="s">
        <v>80</v>
      </c>
      <c r="G114" s="65">
        <v>2420213612</v>
      </c>
      <c r="H114" s="67" t="s">
        <v>353</v>
      </c>
    </row>
    <row r="115" spans="2:8" ht="31.5" x14ac:dyDescent="0.25">
      <c r="B115" s="39" t="s">
        <v>348</v>
      </c>
      <c r="C115" s="46" t="s">
        <v>349</v>
      </c>
      <c r="D115" s="47" t="s">
        <v>373</v>
      </c>
      <c r="E115" s="48">
        <v>10</v>
      </c>
      <c r="F115" s="44" t="s">
        <v>80</v>
      </c>
      <c r="G115" s="65">
        <v>175374598</v>
      </c>
      <c r="H115" s="37" t="s">
        <v>350</v>
      </c>
    </row>
    <row r="116" spans="2:8" ht="31.5" x14ac:dyDescent="0.25">
      <c r="B116" s="15" t="s">
        <v>374</v>
      </c>
      <c r="C116" s="12" t="s">
        <v>375</v>
      </c>
      <c r="D116" s="14" t="s">
        <v>376</v>
      </c>
      <c r="E116" s="22">
        <v>10</v>
      </c>
      <c r="F116" s="19" t="s">
        <v>80</v>
      </c>
      <c r="G116" s="21">
        <v>144614434</v>
      </c>
      <c r="H116" s="37" t="s">
        <v>377</v>
      </c>
    </row>
    <row r="117" spans="2:8" ht="15.75" x14ac:dyDescent="0.25">
      <c r="B117" s="15" t="s">
        <v>111</v>
      </c>
      <c r="C117" s="12" t="s">
        <v>378</v>
      </c>
      <c r="D117" s="14" t="s">
        <v>379</v>
      </c>
      <c r="E117" s="22">
        <v>11</v>
      </c>
      <c r="F117" s="19" t="s">
        <v>80</v>
      </c>
      <c r="G117" s="17">
        <v>48130721</v>
      </c>
      <c r="H117" s="37" t="s">
        <v>380</v>
      </c>
    </row>
    <row r="118" spans="2:8" ht="15.75" x14ac:dyDescent="0.25">
      <c r="B118" s="15" t="s">
        <v>111</v>
      </c>
      <c r="C118" s="12" t="s">
        <v>381</v>
      </c>
      <c r="D118" s="14" t="s">
        <v>382</v>
      </c>
      <c r="E118" s="22">
        <v>11</v>
      </c>
      <c r="F118" s="19" t="s">
        <v>80</v>
      </c>
      <c r="G118" s="17">
        <v>34049250</v>
      </c>
      <c r="H118" s="37" t="s">
        <v>383</v>
      </c>
    </row>
    <row r="119" spans="2:8" ht="31.5" x14ac:dyDescent="0.25">
      <c r="B119" s="15" t="s">
        <v>346</v>
      </c>
      <c r="C119" s="41" t="s">
        <v>354</v>
      </c>
      <c r="D119" s="14" t="s">
        <v>384</v>
      </c>
      <c r="E119" s="22">
        <v>11</v>
      </c>
      <c r="F119" s="19" t="s">
        <v>80</v>
      </c>
      <c r="G119" s="17">
        <v>471473996</v>
      </c>
      <c r="H119" s="37" t="s">
        <v>355</v>
      </c>
    </row>
    <row r="120" spans="2:8" ht="31.5" x14ac:dyDescent="0.25">
      <c r="B120" s="15" t="s">
        <v>58</v>
      </c>
      <c r="C120" s="12"/>
      <c r="D120" s="14" t="s">
        <v>386</v>
      </c>
      <c r="E120" s="22">
        <v>11</v>
      </c>
      <c r="F120" s="19" t="s">
        <v>80</v>
      </c>
      <c r="G120" s="17">
        <v>140572300</v>
      </c>
      <c r="H120" s="13" t="s">
        <v>385</v>
      </c>
    </row>
    <row r="121" spans="2:8" ht="31.5" x14ac:dyDescent="0.25">
      <c r="B121" s="15" t="s">
        <v>346</v>
      </c>
      <c r="C121" s="41" t="s">
        <v>347</v>
      </c>
      <c r="D121" s="14" t="s">
        <v>387</v>
      </c>
      <c r="E121" s="22">
        <v>11</v>
      </c>
      <c r="F121" s="19" t="s">
        <v>80</v>
      </c>
      <c r="G121" s="17">
        <v>381224521</v>
      </c>
      <c r="H121" s="37" t="s">
        <v>356</v>
      </c>
    </row>
    <row r="122" spans="2:8" ht="31.5" x14ac:dyDescent="0.25">
      <c r="B122" s="18" t="s">
        <v>116</v>
      </c>
      <c r="C122" s="12" t="s">
        <v>388</v>
      </c>
      <c r="D122" s="14" t="s">
        <v>389</v>
      </c>
      <c r="E122" s="22">
        <v>11</v>
      </c>
      <c r="F122" s="19" t="s">
        <v>80</v>
      </c>
      <c r="G122" s="21">
        <v>151962640</v>
      </c>
      <c r="H122" s="37" t="s">
        <v>390</v>
      </c>
    </row>
    <row r="123" spans="2:8" ht="47.25" x14ac:dyDescent="0.25">
      <c r="B123" s="15" t="s">
        <v>100</v>
      </c>
      <c r="C123" s="41" t="s">
        <v>357</v>
      </c>
      <c r="D123" s="14" t="s">
        <v>391</v>
      </c>
      <c r="E123" s="22">
        <v>11</v>
      </c>
      <c r="F123" s="19" t="s">
        <v>80</v>
      </c>
      <c r="G123" s="17">
        <v>901166897</v>
      </c>
      <c r="H123" s="37" t="s">
        <v>358</v>
      </c>
    </row>
    <row r="125" spans="2:8" ht="47.25" x14ac:dyDescent="0.25">
      <c r="B125" s="38" t="s">
        <v>351</v>
      </c>
      <c r="C125" s="66" t="s">
        <v>352</v>
      </c>
      <c r="D125" s="47" t="s">
        <v>392</v>
      </c>
      <c r="E125" s="48">
        <v>11</v>
      </c>
      <c r="F125" s="44" t="s">
        <v>80</v>
      </c>
      <c r="G125" s="65">
        <v>2420213612</v>
      </c>
      <c r="H125" s="67" t="s">
        <v>353</v>
      </c>
    </row>
    <row r="126" spans="2:8" ht="31.5" x14ac:dyDescent="0.25">
      <c r="B126" s="39" t="s">
        <v>117</v>
      </c>
      <c r="C126" s="46" t="s">
        <v>409</v>
      </c>
      <c r="D126" s="14" t="s">
        <v>413</v>
      </c>
      <c r="E126" s="22">
        <v>12</v>
      </c>
      <c r="F126" s="19" t="s">
        <v>80</v>
      </c>
      <c r="G126" s="40">
        <v>74316264</v>
      </c>
      <c r="H126" s="37" t="s">
        <v>410</v>
      </c>
    </row>
    <row r="127" spans="2:8" ht="31.5" x14ac:dyDescent="0.25">
      <c r="B127" s="15" t="s">
        <v>134</v>
      </c>
      <c r="C127" s="41" t="s">
        <v>407</v>
      </c>
      <c r="D127" s="14" t="s">
        <v>414</v>
      </c>
      <c r="E127" s="22">
        <v>12</v>
      </c>
      <c r="F127" s="19" t="s">
        <v>80</v>
      </c>
      <c r="G127" s="21">
        <v>2534270700</v>
      </c>
      <c r="H127" s="42" t="s">
        <v>408</v>
      </c>
    </row>
    <row r="128" spans="2:8" ht="31.5" x14ac:dyDescent="0.25">
      <c r="B128" s="15" t="s">
        <v>395</v>
      </c>
      <c r="C128" s="12" t="s">
        <v>396</v>
      </c>
      <c r="D128" s="14" t="s">
        <v>415</v>
      </c>
      <c r="E128" s="22">
        <v>12</v>
      </c>
      <c r="F128" s="19" t="s">
        <v>80</v>
      </c>
      <c r="G128" s="17">
        <v>257415103</v>
      </c>
      <c r="H128" s="37" t="s">
        <v>406</v>
      </c>
    </row>
    <row r="129" spans="2:8" ht="31.5" x14ac:dyDescent="0.25">
      <c r="B129" s="15" t="s">
        <v>397</v>
      </c>
      <c r="C129" s="12" t="s">
        <v>398</v>
      </c>
      <c r="D129" s="14" t="s">
        <v>419</v>
      </c>
      <c r="E129" s="22">
        <v>12</v>
      </c>
      <c r="F129" s="19" t="s">
        <v>80</v>
      </c>
      <c r="G129" s="17">
        <v>243079481</v>
      </c>
      <c r="H129" s="37" t="s">
        <v>399</v>
      </c>
    </row>
    <row r="130" spans="2:8" ht="15.75" x14ac:dyDescent="0.25">
      <c r="B130" s="15" t="s">
        <v>393</v>
      </c>
      <c r="C130" s="12" t="s">
        <v>394</v>
      </c>
      <c r="D130" s="14" t="s">
        <v>420</v>
      </c>
      <c r="E130" s="22">
        <v>12</v>
      </c>
      <c r="F130" s="19" t="s">
        <v>80</v>
      </c>
      <c r="G130" s="17">
        <v>44237900</v>
      </c>
      <c r="H130" s="37" t="s">
        <v>402</v>
      </c>
    </row>
    <row r="131" spans="2:8" ht="31.5" x14ac:dyDescent="0.25">
      <c r="B131" s="18" t="s">
        <v>416</v>
      </c>
      <c r="C131" s="12" t="s">
        <v>417</v>
      </c>
      <c r="D131" s="14" t="s">
        <v>421</v>
      </c>
      <c r="E131" s="22">
        <v>12</v>
      </c>
      <c r="F131" s="19" t="s">
        <v>80</v>
      </c>
      <c r="G131" s="21">
        <v>330506800</v>
      </c>
      <c r="H131" s="37" t="s">
        <v>418</v>
      </c>
    </row>
    <row r="132" spans="2:8" ht="31.5" x14ac:dyDescent="0.25">
      <c r="B132" s="18" t="s">
        <v>113</v>
      </c>
      <c r="C132" s="43" t="s">
        <v>400</v>
      </c>
      <c r="D132" s="14" t="s">
        <v>422</v>
      </c>
      <c r="E132" s="22">
        <v>12</v>
      </c>
      <c r="F132" s="19" t="s">
        <v>80</v>
      </c>
      <c r="G132" s="21">
        <v>3054793260</v>
      </c>
      <c r="H132" s="37" t="s">
        <v>401</v>
      </c>
    </row>
    <row r="133" spans="2:8" ht="63" x14ac:dyDescent="0.25">
      <c r="B133" s="18" t="s">
        <v>58</v>
      </c>
      <c r="C133" s="19"/>
      <c r="D133" s="14" t="s">
        <v>428</v>
      </c>
      <c r="E133" s="22">
        <v>12</v>
      </c>
      <c r="F133" s="19" t="s">
        <v>80</v>
      </c>
      <c r="G133" s="21">
        <v>7000000</v>
      </c>
      <c r="H133" s="30" t="s">
        <v>426</v>
      </c>
    </row>
    <row r="134" spans="2:8" ht="63" x14ac:dyDescent="0.25">
      <c r="B134" s="18" t="s">
        <v>58</v>
      </c>
      <c r="C134" s="19"/>
      <c r="D134" s="14" t="s">
        <v>429</v>
      </c>
      <c r="E134" s="22">
        <v>12</v>
      </c>
      <c r="F134" s="19" t="s">
        <v>80</v>
      </c>
      <c r="G134" s="21">
        <v>7000000</v>
      </c>
      <c r="H134" s="30" t="s">
        <v>427</v>
      </c>
    </row>
    <row r="135" spans="2:8" ht="63" x14ac:dyDescent="0.25">
      <c r="B135" s="18" t="s">
        <v>58</v>
      </c>
      <c r="C135" s="12"/>
      <c r="D135" s="14" t="s">
        <v>432</v>
      </c>
      <c r="E135" s="22">
        <v>12</v>
      </c>
      <c r="F135" s="19" t="s">
        <v>80</v>
      </c>
      <c r="G135" s="17">
        <v>7000000</v>
      </c>
      <c r="H135" s="30" t="s">
        <v>431</v>
      </c>
    </row>
    <row r="136" spans="2:8" ht="63" x14ac:dyDescent="0.25">
      <c r="B136" s="18" t="s">
        <v>58</v>
      </c>
      <c r="C136" s="12"/>
      <c r="D136" s="14" t="s">
        <v>433</v>
      </c>
      <c r="E136" s="22">
        <v>12</v>
      </c>
      <c r="F136" s="19" t="s">
        <v>80</v>
      </c>
      <c r="G136" s="21">
        <v>7000000</v>
      </c>
      <c r="H136" s="30" t="s">
        <v>430</v>
      </c>
    </row>
    <row r="137" spans="2:8" ht="63" x14ac:dyDescent="0.25">
      <c r="B137" s="18" t="s">
        <v>58</v>
      </c>
      <c r="C137" s="19"/>
      <c r="D137" s="14" t="s">
        <v>437</v>
      </c>
      <c r="E137" s="22">
        <v>12</v>
      </c>
      <c r="F137" s="19" t="s">
        <v>80</v>
      </c>
      <c r="G137" s="21">
        <v>7000000</v>
      </c>
      <c r="H137" s="30" t="s">
        <v>434</v>
      </c>
    </row>
    <row r="138" spans="2:8" ht="63" x14ac:dyDescent="0.25">
      <c r="B138" s="18" t="s">
        <v>58</v>
      </c>
      <c r="C138" s="19"/>
      <c r="D138" s="14" t="s">
        <v>438</v>
      </c>
      <c r="E138" s="22">
        <v>12</v>
      </c>
      <c r="F138" s="19" t="s">
        <v>80</v>
      </c>
      <c r="G138" s="21">
        <v>7000000</v>
      </c>
      <c r="H138" s="30" t="s">
        <v>436</v>
      </c>
    </row>
    <row r="139" spans="2:8" ht="63" x14ac:dyDescent="0.25">
      <c r="B139" s="18" t="s">
        <v>58</v>
      </c>
      <c r="C139" s="19"/>
      <c r="D139" s="14" t="s">
        <v>439</v>
      </c>
      <c r="E139" s="22">
        <v>12</v>
      </c>
      <c r="F139" s="19" t="s">
        <v>80</v>
      </c>
      <c r="G139" s="21">
        <v>7000000</v>
      </c>
      <c r="H139" s="30" t="s">
        <v>435</v>
      </c>
    </row>
    <row r="140" spans="2:8" ht="63" x14ac:dyDescent="0.25">
      <c r="B140" s="18" t="s">
        <v>58</v>
      </c>
      <c r="C140" s="12"/>
      <c r="D140" s="14" t="s">
        <v>449</v>
      </c>
      <c r="E140" s="22">
        <v>15</v>
      </c>
      <c r="F140" s="19" t="s">
        <v>80</v>
      </c>
      <c r="G140" s="17">
        <v>7000000</v>
      </c>
      <c r="H140" s="30" t="s">
        <v>440</v>
      </c>
    </row>
    <row r="141" spans="2:8" ht="63" x14ac:dyDescent="0.25">
      <c r="B141" s="18" t="s">
        <v>58</v>
      </c>
      <c r="C141" s="12"/>
      <c r="D141" s="14" t="s">
        <v>450</v>
      </c>
      <c r="E141" s="22">
        <v>15</v>
      </c>
      <c r="F141" s="19" t="s">
        <v>80</v>
      </c>
      <c r="G141" s="17">
        <v>7000000</v>
      </c>
      <c r="H141" s="30" t="s">
        <v>441</v>
      </c>
    </row>
    <row r="142" spans="2:8" ht="63" x14ac:dyDescent="0.25">
      <c r="B142" s="18" t="s">
        <v>58</v>
      </c>
      <c r="C142" s="12"/>
      <c r="D142" s="14" t="s">
        <v>451</v>
      </c>
      <c r="E142" s="22">
        <v>15</v>
      </c>
      <c r="F142" s="19" t="s">
        <v>80</v>
      </c>
      <c r="G142" s="17">
        <v>7000000</v>
      </c>
      <c r="H142" s="30" t="s">
        <v>448</v>
      </c>
    </row>
    <row r="143" spans="2:8" ht="63" x14ac:dyDescent="0.25">
      <c r="B143" s="18" t="s">
        <v>58</v>
      </c>
      <c r="C143" s="12"/>
      <c r="D143" s="14" t="s">
        <v>452</v>
      </c>
      <c r="E143" s="22">
        <v>15</v>
      </c>
      <c r="F143" s="19" t="s">
        <v>80</v>
      </c>
      <c r="G143" s="17">
        <v>7000000</v>
      </c>
      <c r="H143" s="30" t="s">
        <v>442</v>
      </c>
    </row>
    <row r="144" spans="2:8" ht="63" x14ac:dyDescent="0.25">
      <c r="B144" s="18" t="s">
        <v>58</v>
      </c>
      <c r="C144" s="12"/>
      <c r="D144" s="14" t="s">
        <v>453</v>
      </c>
      <c r="E144" s="22">
        <v>15</v>
      </c>
      <c r="F144" s="19" t="s">
        <v>80</v>
      </c>
      <c r="G144" s="17">
        <v>7000000</v>
      </c>
      <c r="H144" s="30" t="s">
        <v>443</v>
      </c>
    </row>
    <row r="145" spans="2:8" ht="63" x14ac:dyDescent="0.25">
      <c r="B145" s="18" t="s">
        <v>58</v>
      </c>
      <c r="C145" s="12"/>
      <c r="D145" s="14" t="s">
        <v>454</v>
      </c>
      <c r="E145" s="22">
        <v>15</v>
      </c>
      <c r="F145" s="19" t="s">
        <v>80</v>
      </c>
      <c r="G145" s="17">
        <v>7000000</v>
      </c>
      <c r="H145" s="30" t="s">
        <v>444</v>
      </c>
    </row>
    <row r="146" spans="2:8" ht="63" x14ac:dyDescent="0.25">
      <c r="B146" s="18" t="s">
        <v>58</v>
      </c>
      <c r="C146" s="12"/>
      <c r="D146" s="14" t="s">
        <v>455</v>
      </c>
      <c r="E146" s="22">
        <v>15</v>
      </c>
      <c r="F146" s="19" t="s">
        <v>80</v>
      </c>
      <c r="G146" s="17">
        <v>7000000</v>
      </c>
      <c r="H146" s="30" t="s">
        <v>446</v>
      </c>
    </row>
    <row r="147" spans="2:8" ht="47.25" x14ac:dyDescent="0.25">
      <c r="B147" s="18" t="s">
        <v>58</v>
      </c>
      <c r="C147" s="12"/>
      <c r="D147" s="14" t="s">
        <v>456</v>
      </c>
      <c r="E147" s="22">
        <v>15</v>
      </c>
      <c r="F147" s="19" t="s">
        <v>80</v>
      </c>
      <c r="G147" s="17">
        <v>7000000</v>
      </c>
      <c r="H147" s="30" t="s">
        <v>445</v>
      </c>
    </row>
    <row r="148" spans="2:8" ht="47.25" x14ac:dyDescent="0.25">
      <c r="B148" s="39" t="s">
        <v>423</v>
      </c>
      <c r="C148" s="45" t="s">
        <v>424</v>
      </c>
      <c r="D148" s="14" t="s">
        <v>457</v>
      </c>
      <c r="E148" s="22">
        <v>15</v>
      </c>
      <c r="F148" s="19" t="s">
        <v>80</v>
      </c>
      <c r="G148" s="40">
        <v>1290972056</v>
      </c>
      <c r="H148" s="37" t="s">
        <v>425</v>
      </c>
    </row>
    <row r="149" spans="2:8" ht="63" x14ac:dyDescent="0.25">
      <c r="B149" s="18" t="s">
        <v>58</v>
      </c>
      <c r="C149" s="12"/>
      <c r="D149" s="14" t="s">
        <v>458</v>
      </c>
      <c r="E149" s="22">
        <v>15</v>
      </c>
      <c r="F149" s="19" t="s">
        <v>80</v>
      </c>
      <c r="G149" s="17">
        <v>7000000</v>
      </c>
      <c r="H149" s="30" t="s">
        <v>447</v>
      </c>
    </row>
    <row r="150" spans="2:8" ht="15.75" x14ac:dyDescent="0.25">
      <c r="B150" s="15" t="s">
        <v>403</v>
      </c>
      <c r="C150" s="12" t="s">
        <v>411</v>
      </c>
      <c r="D150" s="14" t="s">
        <v>459</v>
      </c>
      <c r="E150" s="22">
        <v>15</v>
      </c>
      <c r="F150" s="19" t="s">
        <v>80</v>
      </c>
      <c r="G150" s="17">
        <v>56308080</v>
      </c>
      <c r="H150" s="37" t="s">
        <v>412</v>
      </c>
    </row>
    <row r="151" spans="2:8" ht="15.75" x14ac:dyDescent="0.25">
      <c r="B151" s="15" t="s">
        <v>403</v>
      </c>
      <c r="C151" s="12" t="s">
        <v>404</v>
      </c>
      <c r="D151" s="14" t="s">
        <v>460</v>
      </c>
      <c r="E151" s="22">
        <v>15</v>
      </c>
      <c r="F151" s="19" t="s">
        <v>80</v>
      </c>
      <c r="G151" s="17">
        <v>151315200</v>
      </c>
      <c r="H151" s="37" t="s">
        <v>405</v>
      </c>
    </row>
    <row r="152" spans="2:8" ht="31.5" x14ac:dyDescent="0.25">
      <c r="B152" s="15" t="s">
        <v>106</v>
      </c>
      <c r="C152" s="12" t="s">
        <v>465</v>
      </c>
      <c r="D152" s="14" t="s">
        <v>466</v>
      </c>
      <c r="E152" s="22">
        <v>15</v>
      </c>
      <c r="F152" s="19" t="s">
        <v>80</v>
      </c>
      <c r="G152" s="17">
        <v>187893034</v>
      </c>
      <c r="H152" s="37" t="s">
        <v>467</v>
      </c>
    </row>
    <row r="153" spans="2:8" ht="31.5" x14ac:dyDescent="0.25">
      <c r="B153" s="15" t="s">
        <v>98</v>
      </c>
      <c r="C153" s="12" t="s">
        <v>463</v>
      </c>
      <c r="D153" s="14" t="s">
        <v>470</v>
      </c>
      <c r="E153" s="22">
        <v>15</v>
      </c>
      <c r="F153" s="19" t="s">
        <v>80</v>
      </c>
      <c r="G153" s="17">
        <v>97041750</v>
      </c>
      <c r="H153" s="37" t="s">
        <v>464</v>
      </c>
    </row>
    <row r="154" spans="2:8" ht="31.5" x14ac:dyDescent="0.25">
      <c r="B154" s="15" t="s">
        <v>97</v>
      </c>
      <c r="C154" s="12" t="s">
        <v>461</v>
      </c>
      <c r="D154" s="14" t="s">
        <v>471</v>
      </c>
      <c r="E154" s="22">
        <v>15</v>
      </c>
      <c r="F154" s="19" t="s">
        <v>80</v>
      </c>
      <c r="G154" s="21">
        <v>150725608</v>
      </c>
      <c r="H154" s="37" t="s">
        <v>462</v>
      </c>
    </row>
    <row r="155" spans="2:8" ht="15.75" x14ac:dyDescent="0.25">
      <c r="B155" s="15" t="s">
        <v>403</v>
      </c>
      <c r="C155" s="12" t="s">
        <v>468</v>
      </c>
      <c r="D155" s="14" t="s">
        <v>472</v>
      </c>
      <c r="E155" s="22">
        <v>15</v>
      </c>
      <c r="F155" s="19" t="s">
        <v>80</v>
      </c>
      <c r="G155" s="17">
        <v>44762500</v>
      </c>
      <c r="H155" s="37" t="s">
        <v>469</v>
      </c>
    </row>
    <row r="156" spans="2:8" ht="47.25" x14ac:dyDescent="0.25">
      <c r="B156" s="15" t="s">
        <v>275</v>
      </c>
      <c r="C156" s="12" t="s">
        <v>473</v>
      </c>
      <c r="D156" s="14" t="s">
        <v>474</v>
      </c>
      <c r="E156" s="22">
        <v>15</v>
      </c>
      <c r="F156" s="19" t="s">
        <v>80</v>
      </c>
      <c r="G156" s="21">
        <v>95016000</v>
      </c>
      <c r="H156" s="37" t="s">
        <v>475</v>
      </c>
    </row>
    <row r="157" spans="2:8" ht="31.5" x14ac:dyDescent="0.25">
      <c r="B157" s="18" t="s">
        <v>58</v>
      </c>
      <c r="C157" s="12"/>
      <c r="D157" s="14" t="s">
        <v>477</v>
      </c>
      <c r="E157" s="22">
        <v>15</v>
      </c>
      <c r="F157" s="19" t="s">
        <v>80</v>
      </c>
      <c r="G157" s="17">
        <v>33600000</v>
      </c>
      <c r="H157" s="30" t="s">
        <v>476</v>
      </c>
    </row>
    <row r="158" spans="2:8" ht="31.5" x14ac:dyDescent="0.25">
      <c r="B158" s="39" t="s">
        <v>483</v>
      </c>
      <c r="C158" s="12" t="s">
        <v>484</v>
      </c>
      <c r="D158" s="14" t="s">
        <v>485</v>
      </c>
      <c r="E158" s="22">
        <v>15</v>
      </c>
      <c r="F158" s="19" t="s">
        <v>80</v>
      </c>
      <c r="G158" s="40">
        <v>368723497</v>
      </c>
      <c r="H158" s="37" t="s">
        <v>486</v>
      </c>
    </row>
    <row r="159" spans="2:8" ht="31.5" x14ac:dyDescent="0.25">
      <c r="B159" s="15" t="s">
        <v>179</v>
      </c>
      <c r="C159" s="12" t="s">
        <v>481</v>
      </c>
      <c r="D159" s="14" t="s">
        <v>487</v>
      </c>
      <c r="E159" s="22">
        <v>15</v>
      </c>
      <c r="F159" s="19" t="s">
        <v>80</v>
      </c>
      <c r="G159" s="21">
        <v>284000031</v>
      </c>
      <c r="H159" s="37" t="s">
        <v>482</v>
      </c>
    </row>
    <row r="161" spans="2:8" ht="23.25" x14ac:dyDescent="0.35">
      <c r="G161" s="68">
        <f>SUM(G125:G160)</f>
        <v>11831190876</v>
      </c>
    </row>
    <row r="163" spans="2:8" ht="31.5" x14ac:dyDescent="0.25">
      <c r="B163" s="39" t="s">
        <v>478</v>
      </c>
      <c r="C163" s="45" t="s">
        <v>479</v>
      </c>
      <c r="D163" s="14" t="s">
        <v>492</v>
      </c>
      <c r="E163" s="22">
        <v>15</v>
      </c>
      <c r="F163" s="19" t="s">
        <v>80</v>
      </c>
      <c r="G163" s="40">
        <v>322122000</v>
      </c>
      <c r="H163" s="37" t="s">
        <v>480</v>
      </c>
    </row>
    <row r="164" spans="2:8" ht="15.75" x14ac:dyDescent="0.25">
      <c r="B164" s="15" t="s">
        <v>393</v>
      </c>
      <c r="C164" s="12" t="s">
        <v>490</v>
      </c>
      <c r="D164" s="14" t="s">
        <v>493</v>
      </c>
      <c r="E164" s="22">
        <v>15</v>
      </c>
      <c r="F164" s="19" t="s">
        <v>80</v>
      </c>
      <c r="G164" s="17">
        <v>101121000</v>
      </c>
      <c r="H164" s="37" t="s">
        <v>491</v>
      </c>
    </row>
    <row r="165" spans="2:8" ht="47.25" x14ac:dyDescent="0.25">
      <c r="B165" s="15" t="s">
        <v>488</v>
      </c>
      <c r="C165" s="41" t="s">
        <v>489</v>
      </c>
      <c r="D165" s="14" t="s">
        <v>494</v>
      </c>
      <c r="E165" s="22">
        <v>15</v>
      </c>
      <c r="F165" s="19" t="s">
        <v>80</v>
      </c>
      <c r="G165" s="21">
        <v>2400000000</v>
      </c>
      <c r="H165" s="37" t="s">
        <v>497</v>
      </c>
    </row>
    <row r="166" spans="2:8" ht="31.5" x14ac:dyDescent="0.25">
      <c r="B166" s="39" t="s">
        <v>504</v>
      </c>
      <c r="C166" s="12" t="s">
        <v>505</v>
      </c>
      <c r="D166" s="14" t="s">
        <v>506</v>
      </c>
      <c r="E166" s="22">
        <v>15</v>
      </c>
      <c r="F166" s="19" t="s">
        <v>80</v>
      </c>
      <c r="G166" s="40">
        <v>321463014</v>
      </c>
      <c r="H166" s="37" t="s">
        <v>507</v>
      </c>
    </row>
    <row r="167" spans="2:8" ht="31.5" x14ac:dyDescent="0.25">
      <c r="B167" s="39" t="s">
        <v>495</v>
      </c>
      <c r="C167" s="46" t="s">
        <v>496</v>
      </c>
      <c r="D167" s="14" t="s">
        <v>508</v>
      </c>
      <c r="E167" s="22">
        <v>15</v>
      </c>
      <c r="F167" s="19" t="s">
        <v>80</v>
      </c>
      <c r="G167" s="40">
        <v>136074900</v>
      </c>
      <c r="H167" s="37" t="s">
        <v>498</v>
      </c>
    </row>
    <row r="168" spans="2:8" ht="31.5" x14ac:dyDescent="0.25">
      <c r="B168" s="15" t="s">
        <v>91</v>
      </c>
      <c r="C168" s="12" t="s">
        <v>502</v>
      </c>
      <c r="D168" s="14" t="s">
        <v>509</v>
      </c>
      <c r="E168" s="22">
        <v>15</v>
      </c>
      <c r="F168" s="19" t="s">
        <v>80</v>
      </c>
      <c r="G168" s="17">
        <v>20815830</v>
      </c>
      <c r="H168" s="37" t="s">
        <v>503</v>
      </c>
    </row>
    <row r="169" spans="2:8" ht="15.75" x14ac:dyDescent="0.25">
      <c r="B169" s="15" t="s">
        <v>499</v>
      </c>
      <c r="C169" s="12" t="s">
        <v>500</v>
      </c>
      <c r="D169" s="14" t="s">
        <v>510</v>
      </c>
      <c r="E169" s="22">
        <v>15</v>
      </c>
      <c r="F169" s="19" t="s">
        <v>80</v>
      </c>
      <c r="G169" s="21">
        <v>116825234</v>
      </c>
      <c r="H169" s="37" t="s">
        <v>501</v>
      </c>
    </row>
    <row r="170" spans="2:8" ht="31.5" x14ac:dyDescent="0.25">
      <c r="B170" s="39" t="s">
        <v>258</v>
      </c>
      <c r="C170" s="46" t="s">
        <v>519</v>
      </c>
      <c r="D170" s="47" t="s">
        <v>527</v>
      </c>
      <c r="E170" s="48">
        <v>15</v>
      </c>
      <c r="F170" s="44" t="s">
        <v>80</v>
      </c>
      <c r="G170" s="65">
        <v>118026259</v>
      </c>
      <c r="H170" s="37" t="s">
        <v>520</v>
      </c>
    </row>
    <row r="171" spans="2:8" ht="31.5" x14ac:dyDescent="0.25">
      <c r="B171" s="39" t="s">
        <v>528</v>
      </c>
      <c r="C171" s="45" t="s">
        <v>529</v>
      </c>
      <c r="D171" s="14" t="s">
        <v>530</v>
      </c>
      <c r="E171" s="22">
        <v>15</v>
      </c>
      <c r="F171" s="19" t="s">
        <v>80</v>
      </c>
      <c r="G171" s="40">
        <v>304204383</v>
      </c>
      <c r="H171" s="37" t="s">
        <v>531</v>
      </c>
    </row>
    <row r="172" spans="2:8" ht="15.75" x14ac:dyDescent="0.25">
      <c r="B172" s="15" t="s">
        <v>511</v>
      </c>
      <c r="C172" s="12" t="s">
        <v>512</v>
      </c>
      <c r="D172" s="14" t="s">
        <v>532</v>
      </c>
      <c r="E172" s="22">
        <v>15</v>
      </c>
      <c r="F172" s="19" t="s">
        <v>80</v>
      </c>
      <c r="G172" s="21">
        <v>105595293</v>
      </c>
      <c r="H172" s="37" t="s">
        <v>513</v>
      </c>
    </row>
    <row r="173" spans="2:8" ht="15.75" x14ac:dyDescent="0.25">
      <c r="B173" s="15" t="s">
        <v>514</v>
      </c>
      <c r="C173" s="12" t="s">
        <v>515</v>
      </c>
      <c r="D173" s="14" t="s">
        <v>533</v>
      </c>
      <c r="E173" s="22">
        <v>15</v>
      </c>
      <c r="F173" s="19" t="s">
        <v>80</v>
      </c>
      <c r="G173" s="21">
        <v>106406007</v>
      </c>
      <c r="H173" s="37" t="s">
        <v>516</v>
      </c>
    </row>
    <row r="174" spans="2:8" ht="31.5" x14ac:dyDescent="0.25">
      <c r="B174" s="15" t="s">
        <v>102</v>
      </c>
      <c r="C174" s="12" t="s">
        <v>517</v>
      </c>
      <c r="D174" s="14" t="s">
        <v>534</v>
      </c>
      <c r="E174" s="22">
        <v>15</v>
      </c>
      <c r="F174" s="19" t="s">
        <v>80</v>
      </c>
      <c r="G174" s="17">
        <v>42513000</v>
      </c>
      <c r="H174" s="37" t="s">
        <v>518</v>
      </c>
    </row>
    <row r="175" spans="2:8" ht="31.5" x14ac:dyDescent="0.25">
      <c r="B175" s="15" t="s">
        <v>110</v>
      </c>
      <c r="C175" s="12" t="s">
        <v>535</v>
      </c>
      <c r="D175" s="14" t="s">
        <v>536</v>
      </c>
      <c r="E175" s="22">
        <v>15</v>
      </c>
      <c r="F175" s="19" t="s">
        <v>80</v>
      </c>
      <c r="G175" s="17">
        <v>58053000</v>
      </c>
      <c r="H175" s="37" t="s">
        <v>537</v>
      </c>
    </row>
    <row r="176" spans="2:8" ht="31.5" x14ac:dyDescent="0.25">
      <c r="B176" s="39" t="s">
        <v>538</v>
      </c>
      <c r="C176" s="12" t="s">
        <v>539</v>
      </c>
      <c r="D176" s="14" t="s">
        <v>547</v>
      </c>
      <c r="E176" s="22">
        <v>16</v>
      </c>
      <c r="F176" s="19" t="s">
        <v>80</v>
      </c>
      <c r="G176" s="40">
        <v>300158846</v>
      </c>
      <c r="H176" s="37" t="s">
        <v>540</v>
      </c>
    </row>
    <row r="177" spans="2:8" ht="31.5" x14ac:dyDescent="0.25">
      <c r="B177" s="15" t="s">
        <v>95</v>
      </c>
      <c r="C177" s="41" t="s">
        <v>541</v>
      </c>
      <c r="D177" s="14" t="s">
        <v>548</v>
      </c>
      <c r="E177" s="22">
        <v>16</v>
      </c>
      <c r="F177" s="19" t="s">
        <v>80</v>
      </c>
      <c r="G177" s="17">
        <v>372367954</v>
      </c>
      <c r="H177" s="37" t="s">
        <v>542</v>
      </c>
    </row>
    <row r="178" spans="2:8" ht="31.5" x14ac:dyDescent="0.25">
      <c r="B178" s="15" t="s">
        <v>98</v>
      </c>
      <c r="C178" s="12" t="s">
        <v>549</v>
      </c>
      <c r="D178" s="14" t="s">
        <v>550</v>
      </c>
      <c r="E178" s="22">
        <v>16</v>
      </c>
      <c r="F178" s="19" t="s">
        <v>80</v>
      </c>
      <c r="G178" s="17">
        <v>91380750</v>
      </c>
      <c r="H178" s="37" t="s">
        <v>551</v>
      </c>
    </row>
    <row r="179" spans="2:8" ht="31.5" x14ac:dyDescent="0.25">
      <c r="B179" s="15" t="s">
        <v>94</v>
      </c>
      <c r="C179" s="12" t="s">
        <v>552</v>
      </c>
      <c r="D179" s="14" t="s">
        <v>553</v>
      </c>
      <c r="E179" s="22">
        <v>16</v>
      </c>
      <c r="F179" s="19" t="s">
        <v>80</v>
      </c>
      <c r="G179" s="17">
        <v>99483972</v>
      </c>
      <c r="H179" s="37" t="s">
        <v>554</v>
      </c>
    </row>
    <row r="180" spans="2:8" ht="31.5" x14ac:dyDescent="0.25">
      <c r="B180" s="15" t="s">
        <v>94</v>
      </c>
      <c r="C180" s="12" t="s">
        <v>555</v>
      </c>
      <c r="D180" s="14" t="s">
        <v>556</v>
      </c>
      <c r="E180" s="22">
        <v>16</v>
      </c>
      <c r="F180" s="19" t="s">
        <v>80</v>
      </c>
      <c r="G180" s="17">
        <v>99567000</v>
      </c>
      <c r="H180" s="37" t="s">
        <v>557</v>
      </c>
    </row>
    <row r="181" spans="2:8" ht="31.5" x14ac:dyDescent="0.25">
      <c r="B181" s="15" t="s">
        <v>521</v>
      </c>
      <c r="C181" s="12" t="s">
        <v>522</v>
      </c>
      <c r="D181" s="14" t="s">
        <v>558</v>
      </c>
      <c r="E181" s="22">
        <v>16</v>
      </c>
      <c r="F181" s="19" t="s">
        <v>80</v>
      </c>
      <c r="G181" s="21">
        <v>281663034</v>
      </c>
      <c r="H181" s="37" t="s">
        <v>523</v>
      </c>
    </row>
    <row r="182" spans="2:8" ht="31.5" x14ac:dyDescent="0.25">
      <c r="B182" s="39" t="s">
        <v>544</v>
      </c>
      <c r="C182" s="46" t="s">
        <v>545</v>
      </c>
      <c r="D182" s="14" t="s">
        <v>559</v>
      </c>
      <c r="E182" s="22">
        <v>16</v>
      </c>
      <c r="F182" s="19" t="s">
        <v>80</v>
      </c>
      <c r="G182" s="40">
        <v>174217746</v>
      </c>
      <c r="H182" s="37" t="s">
        <v>546</v>
      </c>
    </row>
    <row r="183" spans="2:8" ht="31.5" x14ac:dyDescent="0.25">
      <c r="B183" s="15" t="s">
        <v>374</v>
      </c>
      <c r="C183" s="12" t="s">
        <v>560</v>
      </c>
      <c r="D183" s="14" t="s">
        <v>561</v>
      </c>
      <c r="E183" s="22">
        <v>16</v>
      </c>
      <c r="F183" s="19" t="s">
        <v>80</v>
      </c>
      <c r="G183" s="21">
        <v>223469507</v>
      </c>
      <c r="H183" s="37" t="s">
        <v>562</v>
      </c>
    </row>
    <row r="184" spans="2:8" ht="31.5" x14ac:dyDescent="0.25">
      <c r="B184" s="39" t="s">
        <v>112</v>
      </c>
      <c r="C184" s="45" t="s">
        <v>563</v>
      </c>
      <c r="D184" s="14" t="s">
        <v>564</v>
      </c>
      <c r="E184" s="22">
        <v>16</v>
      </c>
      <c r="F184" s="19" t="s">
        <v>80</v>
      </c>
      <c r="G184" s="40">
        <v>677829096</v>
      </c>
      <c r="H184" s="37" t="s">
        <v>565</v>
      </c>
    </row>
    <row r="185" spans="2:8" ht="31.5" x14ac:dyDescent="0.25">
      <c r="B185" s="15" t="s">
        <v>566</v>
      </c>
      <c r="C185" s="12" t="s">
        <v>567</v>
      </c>
      <c r="D185" s="14" t="s">
        <v>568</v>
      </c>
      <c r="E185" s="22">
        <v>16</v>
      </c>
      <c r="F185" s="19" t="s">
        <v>80</v>
      </c>
      <c r="G185" s="17">
        <v>93850500</v>
      </c>
      <c r="H185" s="37" t="s">
        <v>569</v>
      </c>
    </row>
    <row r="186" spans="2:8" ht="31.5" x14ac:dyDescent="0.25">
      <c r="B186" s="15" t="s">
        <v>97</v>
      </c>
      <c r="C186" s="12" t="s">
        <v>461</v>
      </c>
      <c r="D186" s="14" t="s">
        <v>570</v>
      </c>
      <c r="E186" s="22">
        <v>16</v>
      </c>
      <c r="F186" s="19" t="s">
        <v>80</v>
      </c>
      <c r="G186" s="21">
        <v>150725608</v>
      </c>
      <c r="H186" s="37" t="s">
        <v>462</v>
      </c>
    </row>
    <row r="187" spans="2:8" ht="31.5" x14ac:dyDescent="0.25">
      <c r="B187" s="23" t="s">
        <v>58</v>
      </c>
      <c r="C187" s="22"/>
      <c r="D187" s="14" t="s">
        <v>577</v>
      </c>
      <c r="E187" s="22">
        <v>16</v>
      </c>
      <c r="F187" s="19" t="s">
        <v>80</v>
      </c>
      <c r="G187" s="25">
        <v>304719628</v>
      </c>
      <c r="H187" s="26" t="s">
        <v>571</v>
      </c>
    </row>
    <row r="188" spans="2:8" ht="47.25" x14ac:dyDescent="0.25">
      <c r="B188" s="18" t="s">
        <v>58</v>
      </c>
      <c r="C188" s="19"/>
      <c r="D188" s="14" t="s">
        <v>578</v>
      </c>
      <c r="E188" s="22">
        <v>16</v>
      </c>
      <c r="F188" s="19" t="s">
        <v>80</v>
      </c>
      <c r="G188" s="21">
        <v>2980263597</v>
      </c>
      <c r="H188" s="30" t="s">
        <v>587</v>
      </c>
    </row>
    <row r="189" spans="2:8" ht="47.25" x14ac:dyDescent="0.25">
      <c r="B189" s="18" t="s">
        <v>58</v>
      </c>
      <c r="C189" s="19"/>
      <c r="D189" s="14" t="s">
        <v>579</v>
      </c>
      <c r="E189" s="22">
        <v>16</v>
      </c>
      <c r="F189" s="19" t="s">
        <v>80</v>
      </c>
      <c r="G189" s="21">
        <v>22450524</v>
      </c>
      <c r="H189" s="30" t="s">
        <v>572</v>
      </c>
    </row>
    <row r="190" spans="2:8" ht="47.25" x14ac:dyDescent="0.25">
      <c r="B190" s="18" t="s">
        <v>58</v>
      </c>
      <c r="C190" s="19"/>
      <c r="D190" s="14" t="s">
        <v>580</v>
      </c>
      <c r="E190" s="22">
        <v>16</v>
      </c>
      <c r="F190" s="19" t="s">
        <v>80</v>
      </c>
      <c r="G190" s="21">
        <v>274803049</v>
      </c>
      <c r="H190" s="30" t="s">
        <v>573</v>
      </c>
    </row>
    <row r="191" spans="2:8" ht="47.25" x14ac:dyDescent="0.25">
      <c r="B191" s="18" t="s">
        <v>58</v>
      </c>
      <c r="C191" s="19"/>
      <c r="D191" s="14" t="s">
        <v>581</v>
      </c>
      <c r="E191" s="22">
        <v>16</v>
      </c>
      <c r="F191" s="19" t="s">
        <v>80</v>
      </c>
      <c r="G191" s="21">
        <v>4226039378</v>
      </c>
      <c r="H191" s="30" t="s">
        <v>589</v>
      </c>
    </row>
    <row r="192" spans="2:8" ht="21" x14ac:dyDescent="0.35">
      <c r="G192" s="69">
        <f>SUM(G163:G191)</f>
        <v>14526210109</v>
      </c>
    </row>
    <row r="196" spans="2:8" ht="31.5" x14ac:dyDescent="0.25">
      <c r="B196" s="15" t="s">
        <v>94</v>
      </c>
      <c r="C196" s="12" t="s">
        <v>555</v>
      </c>
      <c r="D196" s="14" t="s">
        <v>582</v>
      </c>
      <c r="E196" s="22">
        <v>17</v>
      </c>
      <c r="F196" s="19" t="s">
        <v>80</v>
      </c>
      <c r="G196" s="17">
        <v>99567000</v>
      </c>
      <c r="H196" s="37" t="s">
        <v>557</v>
      </c>
    </row>
    <row r="197" spans="2:8" ht="31.5" x14ac:dyDescent="0.25">
      <c r="B197" s="23" t="s">
        <v>58</v>
      </c>
      <c r="C197" s="22"/>
      <c r="D197" s="14" t="s">
        <v>583</v>
      </c>
      <c r="E197" s="22">
        <v>17</v>
      </c>
      <c r="F197" s="19" t="s">
        <v>80</v>
      </c>
      <c r="G197" s="25">
        <v>1486293</v>
      </c>
      <c r="H197" s="26" t="s">
        <v>574</v>
      </c>
    </row>
    <row r="198" spans="2:8" ht="47.25" x14ac:dyDescent="0.25">
      <c r="B198" s="18" t="s">
        <v>58</v>
      </c>
      <c r="C198" s="19"/>
      <c r="D198" s="14" t="s">
        <v>584</v>
      </c>
      <c r="E198" s="22">
        <v>17</v>
      </c>
      <c r="F198" s="19" t="s">
        <v>80</v>
      </c>
      <c r="G198" s="21">
        <v>15270932</v>
      </c>
      <c r="H198" s="30" t="s">
        <v>591</v>
      </c>
    </row>
    <row r="199" spans="2:8" ht="47.25" x14ac:dyDescent="0.25">
      <c r="B199" s="18" t="s">
        <v>58</v>
      </c>
      <c r="C199" s="19"/>
      <c r="D199" s="14" t="s">
        <v>585</v>
      </c>
      <c r="E199" s="22">
        <v>17</v>
      </c>
      <c r="F199" s="19" t="s">
        <v>80</v>
      </c>
      <c r="G199" s="21">
        <v>116572</v>
      </c>
      <c r="H199" s="30" t="s">
        <v>575</v>
      </c>
    </row>
    <row r="200" spans="2:8" ht="47.25" x14ac:dyDescent="0.25">
      <c r="B200" s="18" t="s">
        <v>58</v>
      </c>
      <c r="C200" s="19"/>
      <c r="D200" s="14" t="s">
        <v>586</v>
      </c>
      <c r="E200" s="22">
        <v>17</v>
      </c>
      <c r="F200" s="19" t="s">
        <v>80</v>
      </c>
      <c r="G200" s="21">
        <v>1428007</v>
      </c>
      <c r="H200" s="30" t="s">
        <v>576</v>
      </c>
    </row>
    <row r="201" spans="2:8" ht="31.5" x14ac:dyDescent="0.25">
      <c r="B201" s="18" t="s">
        <v>58</v>
      </c>
      <c r="C201" s="19"/>
      <c r="D201" s="14" t="s">
        <v>590</v>
      </c>
      <c r="E201" s="22">
        <v>17</v>
      </c>
      <c r="F201" s="19" t="s">
        <v>80</v>
      </c>
      <c r="G201" s="21">
        <v>21769147</v>
      </c>
      <c r="H201" s="30" t="s">
        <v>588</v>
      </c>
    </row>
    <row r="202" spans="2:8" ht="31.5" x14ac:dyDescent="0.25">
      <c r="B202" s="15" t="s">
        <v>249</v>
      </c>
      <c r="C202" s="46" t="s">
        <v>250</v>
      </c>
      <c r="D202" s="14" t="s">
        <v>592</v>
      </c>
      <c r="E202" s="22">
        <v>17</v>
      </c>
      <c r="F202" s="19" t="s">
        <v>80</v>
      </c>
      <c r="G202" s="21">
        <v>296659756</v>
      </c>
      <c r="H202" s="37" t="s">
        <v>251</v>
      </c>
    </row>
    <row r="203" spans="2:8" ht="31.5" x14ac:dyDescent="0.25">
      <c r="B203" s="15" t="s">
        <v>249</v>
      </c>
      <c r="C203" s="46" t="s">
        <v>252</v>
      </c>
      <c r="D203" s="14" t="s">
        <v>593</v>
      </c>
      <c r="E203" s="22">
        <v>17</v>
      </c>
      <c r="F203" s="19" t="s">
        <v>80</v>
      </c>
      <c r="G203" s="21">
        <v>204507917</v>
      </c>
      <c r="H203" s="37" t="s">
        <v>253</v>
      </c>
    </row>
    <row r="204" spans="2:8" ht="15.75" x14ac:dyDescent="0.25">
      <c r="B204" s="39" t="s">
        <v>348</v>
      </c>
      <c r="C204" s="46" t="s">
        <v>594</v>
      </c>
      <c r="D204" s="14" t="s">
        <v>595</v>
      </c>
      <c r="E204" s="22">
        <v>17</v>
      </c>
      <c r="F204" s="44" t="s">
        <v>80</v>
      </c>
      <c r="G204" s="65">
        <v>316360411</v>
      </c>
      <c r="H204" s="37" t="s">
        <v>596</v>
      </c>
    </row>
    <row r="205" spans="2:8" ht="31.5" x14ac:dyDescent="0.25">
      <c r="B205" s="39" t="s">
        <v>495</v>
      </c>
      <c r="C205" s="46" t="s">
        <v>597</v>
      </c>
      <c r="D205" s="14" t="s">
        <v>598</v>
      </c>
      <c r="E205" s="22">
        <v>17</v>
      </c>
      <c r="F205" s="19" t="s">
        <v>80</v>
      </c>
      <c r="G205" s="40">
        <v>260255262</v>
      </c>
      <c r="H205" s="37" t="s">
        <v>543</v>
      </c>
    </row>
    <row r="206" spans="2:8" ht="31.5" x14ac:dyDescent="0.25">
      <c r="B206" s="18" t="s">
        <v>58</v>
      </c>
      <c r="C206" s="12"/>
      <c r="D206" s="14" t="s">
        <v>600</v>
      </c>
      <c r="E206" s="22">
        <v>17</v>
      </c>
      <c r="F206" s="19" t="s">
        <v>80</v>
      </c>
      <c r="G206" s="17">
        <v>85400000</v>
      </c>
      <c r="H206" s="30" t="s">
        <v>599</v>
      </c>
    </row>
    <row r="207" spans="2:8" ht="31.5" x14ac:dyDescent="0.25">
      <c r="B207" s="15" t="s">
        <v>395</v>
      </c>
      <c r="C207" s="41" t="s">
        <v>601</v>
      </c>
      <c r="D207" s="14" t="s">
        <v>602</v>
      </c>
      <c r="E207" s="22">
        <v>17</v>
      </c>
      <c r="F207" s="19" t="s">
        <v>80</v>
      </c>
      <c r="G207" s="17">
        <v>306476909</v>
      </c>
      <c r="H207" s="37" t="s">
        <v>603</v>
      </c>
    </row>
    <row r="208" spans="2:8" ht="47.25" x14ac:dyDescent="0.25">
      <c r="B208" s="18" t="s">
        <v>58</v>
      </c>
      <c r="C208" s="19"/>
      <c r="D208" s="14" t="s">
        <v>604</v>
      </c>
      <c r="E208" s="22">
        <v>17</v>
      </c>
      <c r="F208" s="19" t="s">
        <v>80</v>
      </c>
      <c r="G208" s="21">
        <v>4226039378</v>
      </c>
      <c r="H208" s="30" t="s">
        <v>589</v>
      </c>
    </row>
    <row r="209" spans="2:8" ht="31.5" x14ac:dyDescent="0.25">
      <c r="B209" s="15" t="s">
        <v>566</v>
      </c>
      <c r="C209" s="12" t="s">
        <v>567</v>
      </c>
      <c r="D209" s="14" t="s">
        <v>605</v>
      </c>
      <c r="E209" s="22">
        <v>17</v>
      </c>
      <c r="F209" s="19" t="s">
        <v>80</v>
      </c>
      <c r="G209" s="17">
        <v>93850500</v>
      </c>
      <c r="H209" s="37" t="s">
        <v>569</v>
      </c>
    </row>
    <row r="210" spans="2:8" ht="31.5" x14ac:dyDescent="0.25">
      <c r="B210" s="15" t="s">
        <v>606</v>
      </c>
      <c r="C210" s="12" t="s">
        <v>607</v>
      </c>
      <c r="D210" s="14" t="s">
        <v>608</v>
      </c>
      <c r="E210" s="22">
        <v>17</v>
      </c>
      <c r="F210" s="19" t="s">
        <v>80</v>
      </c>
      <c r="G210" s="17">
        <v>84842933</v>
      </c>
      <c r="H210" s="37" t="s">
        <v>609</v>
      </c>
    </row>
    <row r="211" spans="2:8" ht="15.75" x14ac:dyDescent="0.25">
      <c r="B211" s="15" t="s">
        <v>610</v>
      </c>
      <c r="C211" s="12" t="s">
        <v>611</v>
      </c>
      <c r="D211" s="14" t="s">
        <v>612</v>
      </c>
      <c r="E211" s="22">
        <v>17</v>
      </c>
      <c r="F211" s="19" t="s">
        <v>80</v>
      </c>
      <c r="G211" s="17">
        <v>234078786</v>
      </c>
      <c r="H211" s="37" t="s">
        <v>613</v>
      </c>
    </row>
    <row r="212" spans="2:8" ht="31.5" x14ac:dyDescent="0.25">
      <c r="B212" s="39" t="s">
        <v>622</v>
      </c>
      <c r="C212" s="46" t="s">
        <v>623</v>
      </c>
      <c r="D212" s="14" t="s">
        <v>624</v>
      </c>
      <c r="E212" s="22">
        <v>17</v>
      </c>
      <c r="F212" s="19" t="s">
        <v>80</v>
      </c>
      <c r="G212" s="40">
        <v>111187835</v>
      </c>
      <c r="H212" s="37" t="s">
        <v>625</v>
      </c>
    </row>
    <row r="213" spans="2:8" ht="31.5" x14ac:dyDescent="0.25">
      <c r="B213" s="15" t="s">
        <v>617</v>
      </c>
      <c r="C213" s="41" t="s">
        <v>618</v>
      </c>
      <c r="D213" s="14" t="s">
        <v>612</v>
      </c>
      <c r="E213" s="22">
        <v>17</v>
      </c>
      <c r="F213" s="19" t="s">
        <v>80</v>
      </c>
      <c r="G213" s="17">
        <v>557283508</v>
      </c>
      <c r="H213" s="37" t="s">
        <v>619</v>
      </c>
    </row>
    <row r="214" spans="2:8" ht="31.5" x14ac:dyDescent="0.25">
      <c r="B214" s="39" t="s">
        <v>495</v>
      </c>
      <c r="C214" s="45" t="s">
        <v>620</v>
      </c>
      <c r="D214" s="14" t="s">
        <v>598</v>
      </c>
      <c r="E214" s="22">
        <v>17</v>
      </c>
      <c r="F214" s="19" t="s">
        <v>80</v>
      </c>
      <c r="G214" s="40">
        <v>679231682</v>
      </c>
      <c r="H214" s="37" t="s">
        <v>621</v>
      </c>
    </row>
    <row r="215" spans="2:8" ht="31.5" x14ac:dyDescent="0.25">
      <c r="B215" s="15" t="s">
        <v>114</v>
      </c>
      <c r="C215" s="12" t="s">
        <v>115</v>
      </c>
      <c r="D215" s="14" t="s">
        <v>627</v>
      </c>
      <c r="E215" s="22">
        <v>17</v>
      </c>
      <c r="F215" s="19" t="s">
        <v>80</v>
      </c>
      <c r="G215" s="17">
        <v>49300000</v>
      </c>
      <c r="H215" s="33" t="s">
        <v>626</v>
      </c>
    </row>
    <row r="216" spans="2:8" ht="31.5" x14ac:dyDescent="0.25">
      <c r="B216" s="15" t="s">
        <v>114</v>
      </c>
      <c r="C216" s="12" t="s">
        <v>115</v>
      </c>
      <c r="D216" s="14" t="s">
        <v>628</v>
      </c>
      <c r="E216" s="22">
        <v>17</v>
      </c>
      <c r="F216" s="19" t="s">
        <v>80</v>
      </c>
      <c r="G216" s="17">
        <v>9800000</v>
      </c>
      <c r="H216" s="33" t="s">
        <v>629</v>
      </c>
    </row>
    <row r="217" spans="2:8" ht="31.5" x14ac:dyDescent="0.25">
      <c r="B217" s="15" t="s">
        <v>524</v>
      </c>
      <c r="C217" s="12" t="s">
        <v>525</v>
      </c>
      <c r="D217" s="14" t="s">
        <v>630</v>
      </c>
      <c r="E217" s="22">
        <v>17</v>
      </c>
      <c r="F217" s="19" t="s">
        <v>80</v>
      </c>
      <c r="G217" s="21">
        <v>176063873</v>
      </c>
      <c r="H217" s="37" t="s">
        <v>526</v>
      </c>
    </row>
    <row r="218" spans="2:8" ht="31.5" x14ac:dyDescent="0.25">
      <c r="B218" s="15" t="s">
        <v>631</v>
      </c>
      <c r="C218" s="41" t="s">
        <v>632</v>
      </c>
      <c r="D218" s="14" t="s">
        <v>633</v>
      </c>
      <c r="E218" s="22">
        <v>17</v>
      </c>
      <c r="F218" s="19" t="s">
        <v>80</v>
      </c>
      <c r="G218" s="17">
        <v>994129090</v>
      </c>
      <c r="H218" s="37" t="s">
        <v>634</v>
      </c>
    </row>
    <row r="219" spans="2:8" ht="31.5" x14ac:dyDescent="0.25">
      <c r="B219" s="15" t="s">
        <v>94</v>
      </c>
      <c r="C219" s="12" t="s">
        <v>635</v>
      </c>
      <c r="D219" s="14" t="s">
        <v>636</v>
      </c>
      <c r="E219" s="22">
        <v>17</v>
      </c>
      <c r="F219" s="19" t="s">
        <v>80</v>
      </c>
      <c r="G219" s="17">
        <v>97513500</v>
      </c>
      <c r="H219" s="37" t="s">
        <v>637</v>
      </c>
    </row>
    <row r="220" spans="2:8" ht="31.5" x14ac:dyDescent="0.25">
      <c r="B220" s="15" t="s">
        <v>96</v>
      </c>
      <c r="C220" s="12" t="s">
        <v>638</v>
      </c>
      <c r="D220" s="14" t="s">
        <v>639</v>
      </c>
      <c r="E220" s="22">
        <v>17</v>
      </c>
      <c r="F220" s="19" t="s">
        <v>80</v>
      </c>
      <c r="G220" s="21">
        <v>338633580</v>
      </c>
      <c r="H220" s="37" t="s">
        <v>640</v>
      </c>
    </row>
    <row r="221" spans="2:8" ht="31.5" x14ac:dyDescent="0.25">
      <c r="B221" s="39" t="s">
        <v>614</v>
      </c>
      <c r="C221" s="46" t="s">
        <v>615</v>
      </c>
      <c r="D221" s="14" t="s">
        <v>641</v>
      </c>
      <c r="E221" s="22">
        <v>17</v>
      </c>
      <c r="F221" s="19" t="s">
        <v>80</v>
      </c>
      <c r="G221" s="40">
        <v>104376545</v>
      </c>
      <c r="H221" s="37" t="s">
        <v>616</v>
      </c>
    </row>
    <row r="222" spans="2:8" ht="31.5" x14ac:dyDescent="0.25">
      <c r="B222" s="39" t="s">
        <v>642</v>
      </c>
      <c r="C222" s="46" t="s">
        <v>643</v>
      </c>
      <c r="D222" s="14" t="s">
        <v>644</v>
      </c>
      <c r="E222" s="22">
        <v>17</v>
      </c>
      <c r="F222" s="19" t="s">
        <v>80</v>
      </c>
      <c r="G222" s="40">
        <v>358910428</v>
      </c>
      <c r="H222" s="37" t="s">
        <v>645</v>
      </c>
    </row>
    <row r="224" spans="2:8" ht="21" x14ac:dyDescent="0.35">
      <c r="G224" s="69">
        <f>SUM(G196:G223)</f>
        <v>9724539844</v>
      </c>
    </row>
    <row r="228" spans="2:8" ht="47.25" x14ac:dyDescent="0.25">
      <c r="B228" s="15" t="s">
        <v>108</v>
      </c>
      <c r="C228" s="12" t="s">
        <v>109</v>
      </c>
      <c r="D228" s="14" t="s">
        <v>646</v>
      </c>
      <c r="E228" s="22">
        <v>17</v>
      </c>
      <c r="F228" s="19" t="s">
        <v>80</v>
      </c>
      <c r="G228" s="17">
        <v>14961472175</v>
      </c>
      <c r="H228" s="37" t="s">
        <v>647</v>
      </c>
    </row>
    <row r="229" spans="2:8" ht="31.5" x14ac:dyDescent="0.25">
      <c r="B229" s="18" t="s">
        <v>58</v>
      </c>
      <c r="C229" s="19"/>
      <c r="D229" s="14" t="s">
        <v>654</v>
      </c>
      <c r="E229" s="22">
        <v>18</v>
      </c>
      <c r="F229" s="19" t="s">
        <v>80</v>
      </c>
      <c r="G229" s="21">
        <v>21769147</v>
      </c>
      <c r="H229" s="30" t="s">
        <v>588</v>
      </c>
    </row>
    <row r="230" spans="2:8" ht="31.5" x14ac:dyDescent="0.25">
      <c r="B230" s="15" t="s">
        <v>397</v>
      </c>
      <c r="C230" s="12" t="s">
        <v>398</v>
      </c>
      <c r="D230" s="14" t="s">
        <v>655</v>
      </c>
      <c r="E230" s="22">
        <v>18</v>
      </c>
      <c r="F230" s="19" t="s">
        <v>80</v>
      </c>
      <c r="G230" s="17">
        <v>243079481</v>
      </c>
      <c r="H230" s="37" t="s">
        <v>399</v>
      </c>
    </row>
    <row r="231" spans="2:8" ht="31.5" x14ac:dyDescent="0.25">
      <c r="B231" s="39" t="s">
        <v>495</v>
      </c>
      <c r="C231" s="12" t="s">
        <v>652</v>
      </c>
      <c r="D231" s="14" t="s">
        <v>656</v>
      </c>
      <c r="E231" s="22">
        <v>18</v>
      </c>
      <c r="F231" s="19" t="s">
        <v>80</v>
      </c>
      <c r="G231" s="40">
        <v>99796892</v>
      </c>
      <c r="H231" s="37" t="s">
        <v>653</v>
      </c>
    </row>
    <row r="232" spans="2:8" ht="31.5" x14ac:dyDescent="0.25">
      <c r="B232" s="39" t="s">
        <v>495</v>
      </c>
      <c r="C232" s="45" t="s">
        <v>660</v>
      </c>
      <c r="D232" s="14" t="s">
        <v>657</v>
      </c>
      <c r="E232" s="22">
        <v>18</v>
      </c>
      <c r="F232" s="19" t="s">
        <v>80</v>
      </c>
      <c r="G232" s="40">
        <v>679231682</v>
      </c>
      <c r="H232" s="37" t="s">
        <v>621</v>
      </c>
    </row>
    <row r="233" spans="2:8" ht="31.5" x14ac:dyDescent="0.25">
      <c r="B233" s="15" t="s">
        <v>104</v>
      </c>
      <c r="C233" s="12" t="s">
        <v>650</v>
      </c>
      <c r="D233" s="14" t="s">
        <v>658</v>
      </c>
      <c r="E233" s="22">
        <v>18</v>
      </c>
      <c r="F233" s="19" t="s">
        <v>80</v>
      </c>
      <c r="G233" s="17">
        <v>311603097</v>
      </c>
      <c r="H233" s="37" t="s">
        <v>651</v>
      </c>
    </row>
    <row r="234" spans="2:8" ht="31.5" x14ac:dyDescent="0.25">
      <c r="B234" s="15" t="s">
        <v>93</v>
      </c>
      <c r="C234" s="12" t="s">
        <v>648</v>
      </c>
      <c r="D234" s="14" t="s">
        <v>659</v>
      </c>
      <c r="E234" s="22">
        <v>18</v>
      </c>
      <c r="F234" s="19" t="s">
        <v>80</v>
      </c>
      <c r="G234" s="17">
        <v>44927250</v>
      </c>
      <c r="H234" s="37" t="s">
        <v>649</v>
      </c>
    </row>
    <row r="235" spans="2:8" ht="15.75" x14ac:dyDescent="0.25">
      <c r="B235" s="15" t="s">
        <v>661</v>
      </c>
      <c r="C235" s="41" t="s">
        <v>662</v>
      </c>
      <c r="D235" s="14" t="s">
        <v>665</v>
      </c>
      <c r="E235" s="22">
        <v>18</v>
      </c>
      <c r="F235" s="19" t="s">
        <v>80</v>
      </c>
      <c r="G235" s="17">
        <v>1293364563</v>
      </c>
      <c r="H235" s="37" t="s">
        <v>664</v>
      </c>
    </row>
    <row r="236" spans="2:8" ht="31.5" x14ac:dyDescent="0.25">
      <c r="B236" s="23" t="s">
        <v>58</v>
      </c>
      <c r="C236" s="22"/>
      <c r="D236" s="14" t="s">
        <v>663</v>
      </c>
      <c r="E236" s="22">
        <v>18</v>
      </c>
      <c r="F236" s="19" t="s">
        <v>80</v>
      </c>
      <c r="G236" s="25">
        <v>1486293</v>
      </c>
      <c r="H236" s="26" t="s">
        <v>574</v>
      </c>
    </row>
    <row r="237" spans="2:8" ht="31.5" x14ac:dyDescent="0.25">
      <c r="B237" s="15" t="s">
        <v>666</v>
      </c>
      <c r="C237" s="12" t="s">
        <v>667</v>
      </c>
      <c r="D237" s="14" t="s">
        <v>668</v>
      </c>
      <c r="E237" s="22">
        <v>18</v>
      </c>
      <c r="F237" s="19" t="s">
        <v>80</v>
      </c>
      <c r="G237" s="17">
        <v>83694000</v>
      </c>
      <c r="H237" s="37" t="s">
        <v>669</v>
      </c>
    </row>
    <row r="238" spans="2:8" ht="31.5" x14ac:dyDescent="0.25">
      <c r="B238" s="15" t="s">
        <v>666</v>
      </c>
      <c r="C238" s="12" t="s">
        <v>670</v>
      </c>
      <c r="D238" s="14" t="s">
        <v>671</v>
      </c>
      <c r="E238" s="22">
        <v>18</v>
      </c>
      <c r="F238" s="19" t="s">
        <v>80</v>
      </c>
      <c r="G238" s="17">
        <v>83028000</v>
      </c>
      <c r="H238" s="37" t="s">
        <v>672</v>
      </c>
    </row>
    <row r="239" spans="2:8" ht="31.5" x14ac:dyDescent="0.25">
      <c r="B239" s="15" t="s">
        <v>99</v>
      </c>
      <c r="C239" s="12" t="s">
        <v>673</v>
      </c>
      <c r="D239" s="14" t="s">
        <v>674</v>
      </c>
      <c r="E239" s="22">
        <v>18</v>
      </c>
      <c r="F239" s="19" t="s">
        <v>80</v>
      </c>
      <c r="G239" s="17">
        <v>30969000</v>
      </c>
      <c r="H239" s="37" t="s">
        <v>675</v>
      </c>
    </row>
    <row r="240" spans="2:8" ht="15.75" x14ac:dyDescent="0.25">
      <c r="B240" s="15" t="s">
        <v>676</v>
      </c>
      <c r="C240" s="12" t="s">
        <v>677</v>
      </c>
      <c r="D240" s="14" t="s">
        <v>678</v>
      </c>
      <c r="E240" s="22">
        <v>18</v>
      </c>
      <c r="F240" s="19" t="s">
        <v>80</v>
      </c>
      <c r="G240" s="17">
        <v>16577850</v>
      </c>
      <c r="H240" s="37" t="s">
        <v>679</v>
      </c>
    </row>
    <row r="241" spans="2:8" ht="31.5" x14ac:dyDescent="0.25">
      <c r="B241" s="15" t="s">
        <v>617</v>
      </c>
      <c r="C241" s="41" t="s">
        <v>618</v>
      </c>
      <c r="D241" s="14" t="s">
        <v>680</v>
      </c>
      <c r="E241" s="22">
        <v>18</v>
      </c>
      <c r="F241" s="19" t="s">
        <v>80</v>
      </c>
      <c r="G241" s="17">
        <v>557283508</v>
      </c>
      <c r="H241" s="37" t="s">
        <v>619</v>
      </c>
    </row>
    <row r="242" spans="2:8" ht="31.5" x14ac:dyDescent="0.25">
      <c r="B242" s="15" t="s">
        <v>393</v>
      </c>
      <c r="C242" s="12" t="s">
        <v>681</v>
      </c>
      <c r="D242" s="14" t="s">
        <v>682</v>
      </c>
      <c r="E242" s="22">
        <v>19</v>
      </c>
      <c r="F242" s="19" t="s">
        <v>80</v>
      </c>
      <c r="G242" s="17">
        <v>71775930</v>
      </c>
      <c r="H242" s="37" t="s">
        <v>683</v>
      </c>
    </row>
    <row r="243" spans="2:8" ht="31.5" x14ac:dyDescent="0.25">
      <c r="B243" s="15" t="s">
        <v>684</v>
      </c>
      <c r="C243" s="41" t="s">
        <v>685</v>
      </c>
      <c r="D243" s="14" t="s">
        <v>686</v>
      </c>
      <c r="E243" s="22">
        <v>19</v>
      </c>
      <c r="F243" s="19" t="s">
        <v>80</v>
      </c>
      <c r="G243" s="17">
        <v>4378788986</v>
      </c>
      <c r="H243" s="37" t="s">
        <v>687</v>
      </c>
    </row>
    <row r="244" spans="2:8" ht="31.5" x14ac:dyDescent="0.25">
      <c r="B244" s="39" t="s">
        <v>688</v>
      </c>
      <c r="C244" s="12" t="s">
        <v>689</v>
      </c>
      <c r="D244" s="14" t="s">
        <v>690</v>
      </c>
      <c r="E244" s="22">
        <v>19</v>
      </c>
      <c r="F244" s="19" t="s">
        <v>80</v>
      </c>
      <c r="G244" s="40">
        <v>298068937</v>
      </c>
      <c r="H244" s="37" t="s">
        <v>691</v>
      </c>
    </row>
    <row r="245" spans="2:8" ht="31.5" x14ac:dyDescent="0.25">
      <c r="B245" s="15" t="s">
        <v>105</v>
      </c>
      <c r="C245" s="12" t="s">
        <v>692</v>
      </c>
      <c r="D245" s="14" t="s">
        <v>693</v>
      </c>
      <c r="E245" s="22">
        <v>19</v>
      </c>
      <c r="F245" s="19" t="s">
        <v>80</v>
      </c>
      <c r="G245" s="21">
        <v>2300762168</v>
      </c>
      <c r="H245" s="37" t="s">
        <v>118</v>
      </c>
    </row>
  </sheetData>
  <pageMargins left="0.7" right="0.7" top="0.75" bottom="0.75" header="0.3" footer="0.3"/>
  <pageSetup paperSize="9" scale="51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3:O93"/>
  <sheetViews>
    <sheetView topLeftCell="A10" workbookViewId="0">
      <pane ySplit="4" topLeftCell="A73" activePane="bottomLeft" state="frozen"/>
      <selection activeCell="A10" sqref="A10"/>
      <selection pane="bottomLeft" activeCell="C75" sqref="C75:G89"/>
    </sheetView>
  </sheetViews>
  <sheetFormatPr defaultRowHeight="15" x14ac:dyDescent="0.25"/>
  <cols>
    <col min="1" max="2" width="9.140625" style="128"/>
    <col min="3" max="3" width="9.7109375" style="155" customWidth="1"/>
    <col min="4" max="4" width="13.28515625" style="143" bestFit="1" customWidth="1"/>
    <col min="5" max="5" width="15" style="143" customWidth="1"/>
    <col min="6" max="6" width="13.28515625" style="143" bestFit="1" customWidth="1"/>
    <col min="7" max="7" width="30.85546875" style="156" customWidth="1"/>
    <col min="8" max="12" width="9.140625" style="128"/>
    <col min="13" max="13" width="10.5703125" style="128" customWidth="1"/>
    <col min="14" max="15" width="9.140625" style="128"/>
    <col min="16" max="16" width="16" style="128" customWidth="1"/>
    <col min="17" max="16384" width="9.140625" style="128"/>
  </cols>
  <sheetData>
    <row r="13" spans="3:15" ht="27.95" customHeight="1" x14ac:dyDescent="0.25">
      <c r="C13" s="125" t="s">
        <v>1146</v>
      </c>
      <c r="D13" s="126" t="s">
        <v>1147</v>
      </c>
      <c r="E13" s="126" t="s">
        <v>1148</v>
      </c>
      <c r="F13" s="126" t="s">
        <v>1149</v>
      </c>
      <c r="G13" s="127" t="s">
        <v>1150</v>
      </c>
      <c r="O13" s="128" t="s">
        <v>1151</v>
      </c>
    </row>
    <row r="14" spans="3:15" ht="27.95" customHeight="1" x14ac:dyDescent="0.25">
      <c r="C14" s="129">
        <v>45982</v>
      </c>
      <c r="D14" s="130"/>
      <c r="E14" s="131">
        <v>5000000</v>
      </c>
      <c r="F14" s="130"/>
      <c r="G14" s="132" t="s">
        <v>1152</v>
      </c>
    </row>
    <row r="15" spans="3:15" ht="27.95" customHeight="1" x14ac:dyDescent="0.25">
      <c r="C15" s="129">
        <v>45982</v>
      </c>
      <c r="D15" s="130">
        <v>2100000</v>
      </c>
      <c r="E15" s="130"/>
      <c r="F15" s="130"/>
      <c r="G15" s="133" t="s">
        <v>1153</v>
      </c>
    </row>
    <row r="16" spans="3:15" ht="27.95" customHeight="1" x14ac:dyDescent="0.25">
      <c r="C16" s="129">
        <v>45982</v>
      </c>
      <c r="D16" s="130">
        <v>350000</v>
      </c>
      <c r="E16" s="130"/>
      <c r="F16" s="130"/>
      <c r="G16" s="133" t="s">
        <v>1154</v>
      </c>
    </row>
    <row r="17" spans="3:15" ht="27.95" customHeight="1" x14ac:dyDescent="0.25">
      <c r="C17" s="129">
        <v>45982</v>
      </c>
      <c r="D17" s="130"/>
      <c r="E17" s="130"/>
      <c r="F17" s="130">
        <f>E14-D15-D16</f>
        <v>2550000</v>
      </c>
      <c r="G17" s="133" t="s">
        <v>1149</v>
      </c>
      <c r="O17" s="128" t="s">
        <v>1155</v>
      </c>
    </row>
    <row r="18" spans="3:15" ht="27.95" customHeight="1" x14ac:dyDescent="0.25">
      <c r="C18" s="129">
        <v>45982</v>
      </c>
      <c r="D18" s="130"/>
      <c r="E18" s="131">
        <v>5000000</v>
      </c>
      <c r="F18" s="130"/>
      <c r="G18" s="132" t="s">
        <v>1156</v>
      </c>
    </row>
    <row r="19" spans="3:15" ht="27.95" customHeight="1" x14ac:dyDescent="0.25">
      <c r="C19" s="129">
        <v>45982</v>
      </c>
      <c r="D19" s="130"/>
      <c r="E19" s="134"/>
      <c r="F19" s="135">
        <f>F17+E18</f>
        <v>7550000</v>
      </c>
      <c r="G19" s="136" t="s">
        <v>1149</v>
      </c>
    </row>
    <row r="20" spans="3:15" ht="27.95" customHeight="1" x14ac:dyDescent="0.25">
      <c r="C20" s="129">
        <v>45982</v>
      </c>
      <c r="D20" s="130">
        <v>5000000</v>
      </c>
      <c r="E20" s="130"/>
      <c r="F20" s="130"/>
      <c r="G20" s="133" t="s">
        <v>1157</v>
      </c>
    </row>
    <row r="21" spans="3:15" ht="27.95" customHeight="1" x14ac:dyDescent="0.25">
      <c r="C21" s="137"/>
      <c r="D21" s="126"/>
      <c r="E21" s="130"/>
      <c r="F21" s="138">
        <f>F19-D20</f>
        <v>2550000</v>
      </c>
      <c r="G21" s="136" t="s">
        <v>1149</v>
      </c>
      <c r="K21" s="128" t="s">
        <v>1158</v>
      </c>
      <c r="N21" s="128" t="s">
        <v>1159</v>
      </c>
    </row>
    <row r="22" spans="3:15" ht="27.95" customHeight="1" x14ac:dyDescent="0.25">
      <c r="C22" s="129">
        <v>45995</v>
      </c>
      <c r="D22" s="130">
        <v>1480600</v>
      </c>
      <c r="E22" s="130"/>
      <c r="F22" s="130">
        <f>F21-D22</f>
        <v>1069400</v>
      </c>
      <c r="G22" s="133" t="s">
        <v>1160</v>
      </c>
    </row>
    <row r="23" spans="3:15" ht="27.95" customHeight="1" x14ac:dyDescent="0.25">
      <c r="C23" s="129">
        <v>45996</v>
      </c>
      <c r="D23" s="130">
        <v>200000</v>
      </c>
      <c r="E23" s="130"/>
      <c r="F23" s="130">
        <f>F22-D23</f>
        <v>869400</v>
      </c>
      <c r="G23" s="133" t="s">
        <v>1161</v>
      </c>
    </row>
    <row r="24" spans="3:15" ht="49.5" customHeight="1" x14ac:dyDescent="0.25">
      <c r="C24" s="129">
        <v>45999</v>
      </c>
      <c r="D24" s="130">
        <v>100000</v>
      </c>
      <c r="E24" s="130"/>
      <c r="F24" s="130">
        <f t="shared" ref="F24:F25" si="0">F23-D24</f>
        <v>769400</v>
      </c>
      <c r="G24" s="133" t="s">
        <v>1162</v>
      </c>
    </row>
    <row r="25" spans="3:15" ht="27.95" customHeight="1" x14ac:dyDescent="0.25">
      <c r="C25" s="129">
        <v>46001</v>
      </c>
      <c r="D25" s="130">
        <v>500000</v>
      </c>
      <c r="E25" s="130"/>
      <c r="F25" s="130">
        <f t="shared" si="0"/>
        <v>269400</v>
      </c>
      <c r="G25" s="133" t="s">
        <v>1151</v>
      </c>
    </row>
    <row r="26" spans="3:15" ht="27.95" customHeight="1" x14ac:dyDescent="0.25">
      <c r="C26" s="129">
        <v>46000</v>
      </c>
      <c r="D26" s="130"/>
      <c r="E26" s="131">
        <v>7000000</v>
      </c>
      <c r="F26" s="130"/>
      <c r="G26" s="132" t="s">
        <v>1156</v>
      </c>
    </row>
    <row r="27" spans="3:15" ht="27.95" customHeight="1" x14ac:dyDescent="0.25">
      <c r="C27" s="129">
        <v>46000</v>
      </c>
      <c r="D27" s="130"/>
      <c r="E27" s="130"/>
      <c r="F27" s="130">
        <f>F25+E26</f>
        <v>7269400</v>
      </c>
      <c r="G27" s="136" t="s">
        <v>1149</v>
      </c>
    </row>
    <row r="28" spans="3:15" ht="27.95" customHeight="1" x14ac:dyDescent="0.25">
      <c r="C28" s="129">
        <v>46004</v>
      </c>
      <c r="D28" s="130">
        <v>700000</v>
      </c>
      <c r="E28" s="130"/>
      <c r="F28" s="139">
        <f t="shared" ref="F28:F36" si="1">F27-D28</f>
        <v>6569400</v>
      </c>
      <c r="G28" s="133" t="s">
        <v>1163</v>
      </c>
    </row>
    <row r="29" spans="3:15" ht="27.95" customHeight="1" x14ac:dyDescent="0.25">
      <c r="C29" s="129">
        <v>46007</v>
      </c>
      <c r="D29" s="130">
        <v>510000</v>
      </c>
      <c r="E29" s="130"/>
      <c r="F29" s="139">
        <f t="shared" si="1"/>
        <v>6059400</v>
      </c>
      <c r="G29" s="133" t="s">
        <v>1164</v>
      </c>
    </row>
    <row r="30" spans="3:15" ht="27.95" customHeight="1" x14ac:dyDescent="0.25">
      <c r="C30" s="129"/>
      <c r="D30" s="130"/>
      <c r="E30" s="130"/>
      <c r="F30" s="140">
        <f t="shared" si="1"/>
        <v>6059400</v>
      </c>
      <c r="G30" s="141" t="s">
        <v>1149</v>
      </c>
    </row>
    <row r="31" spans="3:15" ht="30" x14ac:dyDescent="0.25">
      <c r="C31" s="142">
        <v>46009</v>
      </c>
      <c r="D31" s="143">
        <v>270000</v>
      </c>
      <c r="F31" s="144">
        <f t="shared" si="1"/>
        <v>5789400</v>
      </c>
      <c r="G31" s="145" t="s">
        <v>1165</v>
      </c>
    </row>
    <row r="32" spans="3:15" ht="30" x14ac:dyDescent="0.25">
      <c r="C32" s="142">
        <v>46010</v>
      </c>
      <c r="D32" s="143">
        <f>635000+774000+30000</f>
        <v>1439000</v>
      </c>
      <c r="F32" s="144">
        <f t="shared" si="1"/>
        <v>4350400</v>
      </c>
      <c r="G32" s="145" t="s">
        <v>1166</v>
      </c>
      <c r="K32" s="128" t="s">
        <v>1160</v>
      </c>
      <c r="N32" s="128" t="s">
        <v>1167</v>
      </c>
    </row>
    <row r="33" spans="3:7" x14ac:dyDescent="0.25">
      <c r="C33" s="142">
        <v>46014</v>
      </c>
      <c r="D33" s="143">
        <f>540000+69000+103500</f>
        <v>712500</v>
      </c>
      <c r="F33" s="143">
        <f t="shared" si="1"/>
        <v>3637900</v>
      </c>
      <c r="G33" s="145" t="s">
        <v>1168</v>
      </c>
    </row>
    <row r="34" spans="3:7" x14ac:dyDescent="0.25">
      <c r="C34" s="142">
        <v>46014</v>
      </c>
      <c r="D34" s="143">
        <v>426000</v>
      </c>
      <c r="F34" s="146">
        <f t="shared" si="1"/>
        <v>3211900</v>
      </c>
      <c r="G34" s="147" t="s">
        <v>1149</v>
      </c>
    </row>
    <row r="35" spans="3:7" x14ac:dyDescent="0.25">
      <c r="C35" s="142">
        <v>46015</v>
      </c>
      <c r="D35" s="143">
        <v>300000</v>
      </c>
      <c r="F35" s="148">
        <f t="shared" si="1"/>
        <v>2911900</v>
      </c>
      <c r="G35" s="145" t="s">
        <v>1169</v>
      </c>
    </row>
    <row r="36" spans="3:7" x14ac:dyDescent="0.25">
      <c r="C36" s="142">
        <v>46015</v>
      </c>
      <c r="D36" s="143">
        <v>2000000</v>
      </c>
      <c r="F36" s="148">
        <f t="shared" si="1"/>
        <v>911900</v>
      </c>
      <c r="G36" s="145" t="s">
        <v>1170</v>
      </c>
    </row>
    <row r="37" spans="3:7" x14ac:dyDescent="0.25">
      <c r="C37" s="142">
        <v>46015</v>
      </c>
      <c r="E37" s="143">
        <v>15000000</v>
      </c>
      <c r="F37" s="149">
        <f>F36+E37</f>
        <v>15911900</v>
      </c>
      <c r="G37" s="147" t="s">
        <v>1149</v>
      </c>
    </row>
    <row r="38" spans="3:7" ht="30" x14ac:dyDescent="0.25">
      <c r="C38" s="142">
        <v>46015</v>
      </c>
      <c r="D38" s="143">
        <v>9100000</v>
      </c>
      <c r="F38" s="150">
        <f>F37-D38</f>
        <v>6811900</v>
      </c>
      <c r="G38" s="145" t="s">
        <v>1171</v>
      </c>
    </row>
    <row r="39" spans="3:7" x14ac:dyDescent="0.25">
      <c r="C39" s="142">
        <v>46015</v>
      </c>
      <c r="D39" s="143">
        <v>3000000</v>
      </c>
      <c r="F39" s="150">
        <f>F38-D39</f>
        <v>3811900</v>
      </c>
      <c r="G39" s="145" t="s">
        <v>1172</v>
      </c>
    </row>
    <row r="40" spans="3:7" x14ac:dyDescent="0.25">
      <c r="C40" s="142">
        <v>46020</v>
      </c>
      <c r="D40" s="143" t="s">
        <v>65</v>
      </c>
      <c r="E40" s="143">
        <v>3000000</v>
      </c>
      <c r="F40" s="150">
        <f>F39+E40</f>
        <v>6811900</v>
      </c>
      <c r="G40" s="151" t="s">
        <v>1149</v>
      </c>
    </row>
    <row r="41" spans="3:7" x14ac:dyDescent="0.25">
      <c r="C41" s="142">
        <v>46020</v>
      </c>
      <c r="D41" s="143">
        <v>5000000</v>
      </c>
      <c r="F41" s="152">
        <f>F40-D41</f>
        <v>1811900</v>
      </c>
      <c r="G41" s="145" t="s">
        <v>1173</v>
      </c>
    </row>
    <row r="42" spans="3:7" x14ac:dyDescent="0.25">
      <c r="C42" s="142">
        <v>46387</v>
      </c>
      <c r="D42" s="143">
        <v>0</v>
      </c>
      <c r="E42" s="143">
        <v>0</v>
      </c>
      <c r="F42" s="153">
        <f>F41-D42</f>
        <v>1811900</v>
      </c>
      <c r="G42" s="151" t="s">
        <v>1174</v>
      </c>
    </row>
    <row r="43" spans="3:7" ht="30" x14ac:dyDescent="0.25">
      <c r="C43" s="142">
        <v>46034</v>
      </c>
      <c r="D43" s="143">
        <v>420000</v>
      </c>
      <c r="F43" s="152">
        <f>F42-D43</f>
        <v>1391900</v>
      </c>
      <c r="G43" s="145" t="s">
        <v>1175</v>
      </c>
    </row>
    <row r="44" spans="3:7" ht="30" x14ac:dyDescent="0.25">
      <c r="C44" s="142">
        <v>46034</v>
      </c>
      <c r="D44" s="143">
        <v>230000</v>
      </c>
      <c r="F44" s="152">
        <f>F43-D44</f>
        <v>1161900</v>
      </c>
      <c r="G44" s="145" t="s">
        <v>1176</v>
      </c>
    </row>
    <row r="45" spans="3:7" x14ac:dyDescent="0.25">
      <c r="C45" s="142">
        <v>46040</v>
      </c>
      <c r="D45" s="143">
        <v>1000000</v>
      </c>
      <c r="F45" s="152">
        <f t="shared" ref="F45" si="2">F44-D45</f>
        <v>161900</v>
      </c>
      <c r="G45" s="145" t="s">
        <v>1177</v>
      </c>
    </row>
    <row r="46" spans="3:7" x14ac:dyDescent="0.25">
      <c r="C46" s="142">
        <v>28</v>
      </c>
      <c r="E46" s="143">
        <v>9500000</v>
      </c>
      <c r="F46" s="152">
        <f>F45+E46</f>
        <v>9661900</v>
      </c>
      <c r="G46" s="151"/>
    </row>
    <row r="47" spans="3:7" x14ac:dyDescent="0.25">
      <c r="C47" s="142">
        <v>46050</v>
      </c>
      <c r="D47" s="143">
        <v>6000000</v>
      </c>
      <c r="F47" s="152">
        <f>F46-D47-D48</f>
        <v>3659400</v>
      </c>
      <c r="G47" s="145" t="s">
        <v>1178</v>
      </c>
    </row>
    <row r="48" spans="3:7" x14ac:dyDescent="0.25">
      <c r="C48" s="142"/>
      <c r="D48" s="143">
        <v>2500</v>
      </c>
      <c r="F48" s="152">
        <f>F47-D48</f>
        <v>3656900</v>
      </c>
      <c r="G48" s="151"/>
    </row>
    <row r="49" spans="3:7" x14ac:dyDescent="0.25">
      <c r="C49" s="142">
        <v>46050</v>
      </c>
      <c r="E49" s="143">
        <v>10000000</v>
      </c>
      <c r="F49" s="152">
        <f>F48+E49</f>
        <v>13656900</v>
      </c>
      <c r="G49" s="151" t="s">
        <v>1179</v>
      </c>
    </row>
    <row r="50" spans="3:7" x14ac:dyDescent="0.25">
      <c r="C50" s="142">
        <v>46050</v>
      </c>
      <c r="D50" s="143">
        <v>5104000</v>
      </c>
      <c r="F50" s="152">
        <f>F49-D50</f>
        <v>8552900</v>
      </c>
      <c r="G50" s="145" t="s">
        <v>1180</v>
      </c>
    </row>
    <row r="51" spans="3:7" x14ac:dyDescent="0.25">
      <c r="C51" s="142">
        <v>46050</v>
      </c>
      <c r="D51" s="143">
        <v>2500</v>
      </c>
      <c r="F51" s="152">
        <f t="shared" ref="F51:F53" si="3">F50-D51</f>
        <v>8550400</v>
      </c>
      <c r="G51" s="145" t="s">
        <v>1181</v>
      </c>
    </row>
    <row r="52" spans="3:7" x14ac:dyDescent="0.25">
      <c r="C52" s="142">
        <v>46051</v>
      </c>
      <c r="D52" s="143">
        <v>1350020</v>
      </c>
      <c r="F52" s="152">
        <f t="shared" si="3"/>
        <v>7200380</v>
      </c>
      <c r="G52" s="145" t="s">
        <v>1182</v>
      </c>
    </row>
    <row r="53" spans="3:7" x14ac:dyDescent="0.25">
      <c r="C53" s="142">
        <v>46052</v>
      </c>
      <c r="D53" s="143">
        <v>500000</v>
      </c>
      <c r="F53" s="152">
        <f t="shared" si="3"/>
        <v>6700380</v>
      </c>
      <c r="G53" s="145" t="s">
        <v>1183</v>
      </c>
    </row>
    <row r="54" spans="3:7" x14ac:dyDescent="0.25">
      <c r="C54" s="142">
        <v>46052</v>
      </c>
      <c r="E54" s="143">
        <v>10000000</v>
      </c>
      <c r="F54" s="152">
        <f>F53+E54</f>
        <v>16700380</v>
      </c>
      <c r="G54" s="151" t="s">
        <v>1184</v>
      </c>
    </row>
    <row r="55" spans="3:7" ht="30" x14ac:dyDescent="0.25">
      <c r="C55" s="142">
        <v>46052</v>
      </c>
      <c r="D55" s="143">
        <v>7500</v>
      </c>
      <c r="F55" s="152">
        <f>F54-D55</f>
        <v>16692880</v>
      </c>
      <c r="G55" s="145" t="s">
        <v>1185</v>
      </c>
    </row>
    <row r="56" spans="3:7" ht="24.95" customHeight="1" x14ac:dyDescent="0.25">
      <c r="C56" s="142">
        <v>46052</v>
      </c>
      <c r="D56" s="143">
        <v>10000000</v>
      </c>
      <c r="F56" s="152">
        <f>F55-D56</f>
        <v>6692880</v>
      </c>
      <c r="G56" s="145" t="s">
        <v>1186</v>
      </c>
    </row>
    <row r="57" spans="3:7" ht="24.95" customHeight="1" x14ac:dyDescent="0.25">
      <c r="C57" s="142">
        <v>46052</v>
      </c>
      <c r="D57" s="143">
        <v>1000000</v>
      </c>
      <c r="F57" s="152">
        <f t="shared" ref="F57:F58" si="4">F56-D57</f>
        <v>5692880</v>
      </c>
      <c r="G57" s="145" t="s">
        <v>1177</v>
      </c>
    </row>
    <row r="58" spans="3:7" ht="30" x14ac:dyDescent="0.25">
      <c r="C58" s="142">
        <v>46058</v>
      </c>
      <c r="D58" s="143">
        <v>500000</v>
      </c>
      <c r="F58" s="152">
        <f t="shared" si="4"/>
        <v>5192880</v>
      </c>
      <c r="G58" s="154" t="s">
        <v>1187</v>
      </c>
    </row>
    <row r="59" spans="3:7" ht="24.95" customHeight="1" x14ac:dyDescent="0.25">
      <c r="C59" s="142">
        <v>46058</v>
      </c>
      <c r="D59" s="143">
        <v>2500</v>
      </c>
      <c r="F59" s="152">
        <f>F58-D59</f>
        <v>5190380</v>
      </c>
      <c r="G59" s="145" t="s">
        <v>1188</v>
      </c>
    </row>
    <row r="60" spans="3:7" ht="45" x14ac:dyDescent="0.25">
      <c r="C60" s="142">
        <v>46058</v>
      </c>
      <c r="D60" s="143">
        <v>1000000</v>
      </c>
      <c r="F60" s="152">
        <f t="shared" ref="F60:F74" si="5">F59-D60</f>
        <v>4190380</v>
      </c>
      <c r="G60" s="145" t="s">
        <v>1189</v>
      </c>
    </row>
    <row r="61" spans="3:7" ht="24.95" customHeight="1" x14ac:dyDescent="0.25">
      <c r="C61" s="142">
        <v>46058</v>
      </c>
      <c r="D61" s="143">
        <v>2500</v>
      </c>
      <c r="F61" s="152">
        <f t="shared" si="5"/>
        <v>4187880</v>
      </c>
      <c r="G61" s="145" t="s">
        <v>1188</v>
      </c>
    </row>
    <row r="62" spans="3:7" ht="24.95" customHeight="1" x14ac:dyDescent="0.25">
      <c r="C62" s="142">
        <v>46058</v>
      </c>
      <c r="D62" s="143">
        <v>1000000</v>
      </c>
      <c r="F62" s="152">
        <f t="shared" si="5"/>
        <v>3187880</v>
      </c>
      <c r="G62" s="145" t="s">
        <v>1190</v>
      </c>
    </row>
    <row r="63" spans="3:7" ht="24.95" customHeight="1" x14ac:dyDescent="0.25">
      <c r="C63" s="142">
        <v>46058</v>
      </c>
      <c r="D63" s="143">
        <v>2500</v>
      </c>
      <c r="F63" s="152">
        <f t="shared" si="5"/>
        <v>3185380</v>
      </c>
      <c r="G63" s="145" t="s">
        <v>1188</v>
      </c>
    </row>
    <row r="64" spans="3:7" ht="24.95" customHeight="1" x14ac:dyDescent="0.25">
      <c r="C64" s="142">
        <v>46062</v>
      </c>
      <c r="D64" s="143">
        <v>1000000</v>
      </c>
      <c r="F64" s="152">
        <f t="shared" si="5"/>
        <v>2185380</v>
      </c>
      <c r="G64" s="145" t="s">
        <v>1191</v>
      </c>
    </row>
    <row r="65" spans="3:7" ht="24.95" customHeight="1" x14ac:dyDescent="0.25">
      <c r="C65" s="142">
        <v>46062</v>
      </c>
      <c r="D65" s="143">
        <v>2500</v>
      </c>
      <c r="F65" s="152">
        <f t="shared" si="5"/>
        <v>2182880</v>
      </c>
      <c r="G65" s="145" t="s">
        <v>1192</v>
      </c>
    </row>
    <row r="66" spans="3:7" ht="24.95" customHeight="1" x14ac:dyDescent="0.25">
      <c r="C66" s="142">
        <v>46077</v>
      </c>
      <c r="D66" s="143">
        <v>200000</v>
      </c>
      <c r="F66" s="152">
        <f t="shared" si="5"/>
        <v>1982880</v>
      </c>
      <c r="G66" s="145" t="s">
        <v>1193</v>
      </c>
    </row>
    <row r="67" spans="3:7" ht="24.95" customHeight="1" x14ac:dyDescent="0.25">
      <c r="C67" s="142">
        <v>46077</v>
      </c>
      <c r="D67" s="143">
        <v>2500</v>
      </c>
      <c r="F67" s="152">
        <f t="shared" si="5"/>
        <v>1980380</v>
      </c>
      <c r="G67" s="145" t="s">
        <v>1192</v>
      </c>
    </row>
    <row r="68" spans="3:7" ht="24.95" customHeight="1" x14ac:dyDescent="0.25">
      <c r="C68" s="142">
        <v>46083</v>
      </c>
      <c r="D68" s="143">
        <v>1000000</v>
      </c>
      <c r="F68" s="152">
        <f t="shared" si="5"/>
        <v>980380</v>
      </c>
      <c r="G68" s="145" t="s">
        <v>1194</v>
      </c>
    </row>
    <row r="69" spans="3:7" ht="24.95" customHeight="1" x14ac:dyDescent="0.25">
      <c r="C69" s="142">
        <v>46083</v>
      </c>
      <c r="D69" s="143">
        <v>2500</v>
      </c>
      <c r="F69" s="152">
        <f t="shared" si="5"/>
        <v>977880</v>
      </c>
      <c r="G69" s="145" t="s">
        <v>1188</v>
      </c>
    </row>
    <row r="70" spans="3:7" ht="24.95" customHeight="1" x14ac:dyDescent="0.25">
      <c r="C70" s="142">
        <v>46097</v>
      </c>
      <c r="D70" s="143">
        <v>400000</v>
      </c>
      <c r="F70" s="152">
        <f t="shared" si="5"/>
        <v>577880</v>
      </c>
      <c r="G70" s="145" t="s">
        <v>1195</v>
      </c>
    </row>
    <row r="71" spans="3:7" ht="24.95" customHeight="1" x14ac:dyDescent="0.25">
      <c r="C71" s="142">
        <v>46097</v>
      </c>
      <c r="D71" s="143">
        <v>2500</v>
      </c>
      <c r="F71" s="152">
        <f t="shared" si="5"/>
        <v>575380</v>
      </c>
      <c r="G71" s="145" t="s">
        <v>1188</v>
      </c>
    </row>
    <row r="72" spans="3:7" ht="24.95" customHeight="1" x14ac:dyDescent="0.25">
      <c r="C72" s="142">
        <v>46097</v>
      </c>
      <c r="D72" s="143">
        <v>300000</v>
      </c>
      <c r="F72" s="152">
        <f t="shared" si="5"/>
        <v>275380</v>
      </c>
      <c r="G72" s="145" t="s">
        <v>1196</v>
      </c>
    </row>
    <row r="73" spans="3:7" ht="24.95" customHeight="1" x14ac:dyDescent="0.25">
      <c r="C73" s="142">
        <v>46097</v>
      </c>
      <c r="D73" s="143">
        <v>2500</v>
      </c>
      <c r="F73" s="152">
        <f t="shared" si="5"/>
        <v>272880</v>
      </c>
      <c r="G73" s="145" t="s">
        <v>1192</v>
      </c>
    </row>
    <row r="74" spans="3:7" ht="24.95" customHeight="1" x14ac:dyDescent="0.25">
      <c r="C74" s="142">
        <v>46097</v>
      </c>
      <c r="D74" s="143">
        <v>200000</v>
      </c>
      <c r="F74" s="152">
        <f t="shared" si="5"/>
        <v>72880</v>
      </c>
      <c r="G74" s="145" t="s">
        <v>1197</v>
      </c>
    </row>
    <row r="75" spans="3:7" ht="24.95" customHeight="1" x14ac:dyDescent="0.25">
      <c r="C75" s="142">
        <v>46114</v>
      </c>
      <c r="E75" s="143">
        <v>4000000</v>
      </c>
      <c r="F75" s="152">
        <f>F74+E75</f>
        <v>4072880</v>
      </c>
      <c r="G75" s="151" t="s">
        <v>1198</v>
      </c>
    </row>
    <row r="76" spans="3:7" ht="24.95" customHeight="1" x14ac:dyDescent="0.25">
      <c r="C76" s="142">
        <v>46114</v>
      </c>
      <c r="D76" s="143">
        <v>700000</v>
      </c>
      <c r="F76" s="152">
        <f>F75-D76</f>
        <v>3372880</v>
      </c>
      <c r="G76" s="145" t="s">
        <v>1199</v>
      </c>
    </row>
    <row r="77" spans="3:7" ht="31.5" customHeight="1" x14ac:dyDescent="0.25">
      <c r="C77" s="142">
        <v>46114</v>
      </c>
      <c r="D77" s="143">
        <v>2500</v>
      </c>
      <c r="F77" s="152">
        <f>F76-D77</f>
        <v>3370380</v>
      </c>
      <c r="G77" s="145" t="s">
        <v>1200</v>
      </c>
    </row>
    <row r="78" spans="3:7" ht="24.95" customHeight="1" x14ac:dyDescent="0.25">
      <c r="C78" s="142">
        <v>46120</v>
      </c>
      <c r="F78" s="153">
        <f>F77-D78</f>
        <v>3370380</v>
      </c>
      <c r="G78" s="151" t="s">
        <v>1149</v>
      </c>
    </row>
    <row r="79" spans="3:7" ht="30" x14ac:dyDescent="0.25">
      <c r="C79" s="142">
        <v>46123</v>
      </c>
      <c r="D79" s="143">
        <v>993460</v>
      </c>
      <c r="F79" s="143">
        <f>F78-D79</f>
        <v>2376920</v>
      </c>
      <c r="G79" s="145" t="s">
        <v>1258</v>
      </c>
    </row>
    <row r="80" spans="3:7" ht="23.25" customHeight="1" x14ac:dyDescent="0.25">
      <c r="C80" s="142">
        <v>46123</v>
      </c>
      <c r="D80" s="143">
        <v>1000</v>
      </c>
      <c r="F80" s="143">
        <f t="shared" ref="F80:F89" si="6">F79-D80</f>
        <v>2375920</v>
      </c>
      <c r="G80" s="145" t="s">
        <v>1259</v>
      </c>
    </row>
    <row r="81" spans="3:7" ht="30" x14ac:dyDescent="0.25">
      <c r="C81" s="142">
        <v>46125</v>
      </c>
      <c r="D81" s="143">
        <v>913000</v>
      </c>
      <c r="F81" s="143">
        <f t="shared" si="6"/>
        <v>1462920</v>
      </c>
      <c r="G81" s="145" t="s">
        <v>1260</v>
      </c>
    </row>
    <row r="82" spans="3:7" x14ac:dyDescent="0.25">
      <c r="C82" s="142">
        <v>46125</v>
      </c>
      <c r="D82" s="143">
        <v>1000</v>
      </c>
      <c r="F82" s="143">
        <f t="shared" si="6"/>
        <v>1461920</v>
      </c>
      <c r="G82" s="145" t="s">
        <v>1259</v>
      </c>
    </row>
    <row r="83" spans="3:7" ht="30" x14ac:dyDescent="0.25">
      <c r="C83" s="142">
        <v>46127</v>
      </c>
      <c r="D83" s="143">
        <v>850000</v>
      </c>
      <c r="F83" s="143">
        <f t="shared" si="6"/>
        <v>611920</v>
      </c>
      <c r="G83" s="145" t="s">
        <v>1276</v>
      </c>
    </row>
    <row r="84" spans="3:7" x14ac:dyDescent="0.25">
      <c r="C84" s="142">
        <v>46127</v>
      </c>
      <c r="D84" s="143">
        <v>2500</v>
      </c>
      <c r="F84" s="143">
        <f t="shared" si="6"/>
        <v>609420</v>
      </c>
      <c r="G84" s="145" t="s">
        <v>1277</v>
      </c>
    </row>
    <row r="85" spans="3:7" ht="30" x14ac:dyDescent="0.25">
      <c r="C85" s="142">
        <v>46127</v>
      </c>
      <c r="D85" s="143">
        <v>350000</v>
      </c>
      <c r="F85" s="143">
        <f t="shared" si="6"/>
        <v>259420</v>
      </c>
      <c r="G85" s="145" t="s">
        <v>1278</v>
      </c>
    </row>
    <row r="86" spans="3:7" x14ac:dyDescent="0.25">
      <c r="C86" s="142">
        <v>46127</v>
      </c>
      <c r="D86" s="143">
        <v>2500</v>
      </c>
      <c r="F86" s="143">
        <f t="shared" si="6"/>
        <v>256920</v>
      </c>
      <c r="G86" s="145" t="s">
        <v>1277</v>
      </c>
    </row>
    <row r="87" spans="3:7" x14ac:dyDescent="0.25">
      <c r="C87" s="142">
        <v>46129</v>
      </c>
      <c r="D87" s="143">
        <v>200000</v>
      </c>
      <c r="F87" s="143">
        <f t="shared" si="6"/>
        <v>56920</v>
      </c>
      <c r="G87" s="145" t="s">
        <v>1328</v>
      </c>
    </row>
    <row r="88" spans="3:7" x14ac:dyDescent="0.25">
      <c r="C88" s="142">
        <v>46129</v>
      </c>
      <c r="D88" s="143">
        <v>2500</v>
      </c>
      <c r="F88" s="143">
        <f t="shared" si="6"/>
        <v>54420</v>
      </c>
      <c r="G88" s="145" t="s">
        <v>1277</v>
      </c>
    </row>
    <row r="89" spans="3:7" x14ac:dyDescent="0.25">
      <c r="F89" s="143">
        <f t="shared" si="6"/>
        <v>54420</v>
      </c>
      <c r="G89" s="151" t="s">
        <v>1329</v>
      </c>
    </row>
    <row r="93" spans="3:7" ht="36" customHeight="1" x14ac:dyDescent="0.25"/>
  </sheetData>
  <pageMargins left="0.7" right="0.7" top="0.75" bottom="0.75" header="0.3" footer="0.3"/>
  <pageSetup paperSize="9" scale="8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Sheet5</vt:lpstr>
      <vt:lpstr>Sheet2</vt:lpstr>
      <vt:lpstr>petty cash</vt:lpstr>
      <vt:lpstr>'petty cash'!Print_Area</vt:lpstr>
      <vt:lpstr>Sheet2!Print_Area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SUDIN SDN 08</dc:creator>
  <cp:lastModifiedBy>SUDIN SDN 08</cp:lastModifiedBy>
  <cp:lastPrinted>2026-04-08T08:17:43Z</cp:lastPrinted>
  <dcterms:created xsi:type="dcterms:W3CDTF">2024-06-11T02:40:07Z</dcterms:created>
  <dcterms:modified xsi:type="dcterms:W3CDTF">2026-04-24T03:58:28Z</dcterms:modified>
</cp:coreProperties>
</file>